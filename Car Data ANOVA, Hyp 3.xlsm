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yam/Documents/BSC ASA/sem IV/project/presentation/"/>
    </mc:Choice>
  </mc:AlternateContent>
  <xr:revisionPtr revIDLastSave="0" documentId="13_ncr:1_{2FFD3DE4-D637-B94E-B7A1-59212998886E}" xr6:coauthVersionLast="46" xr6:coauthVersionMax="46" xr10:uidLastSave="{00000000-0000-0000-0000-000000000000}"/>
  <bookViews>
    <workbookView xWindow="380" yWindow="500" windowWidth="28420" windowHeight="17400" activeTab="1" xr2:uid="{00000000-000D-0000-FFFF-FFFF00000000}"/>
  </bookViews>
  <sheets>
    <sheet name="data (2)" sheetId="2" state="hidden" r:id="rId1"/>
    <sheet name="Car Data ANOVA" sheetId="3" r:id="rId2"/>
    <sheet name="Sheet2" sheetId="4" state="hidden" r:id="rId3"/>
  </sheets>
  <definedNames>
    <definedName name="_xlnm._FilterDatabase" localSheetId="1" hidden="1">'Car Data ANOVA'!$A$2:$R$61</definedName>
    <definedName name="_xlnm._FilterDatabase" localSheetId="2" hidden="1">Sheet2!$A$1:$B$44</definedName>
  </definedNames>
  <calcPr calcId="191029"/>
</workbook>
</file>

<file path=xl/calcChain.xml><?xml version="1.0" encoding="utf-8"?>
<calcChain xmlns="http://schemas.openxmlformats.org/spreadsheetml/2006/main">
  <c r="AP67" i="3" l="1"/>
  <c r="AP63" i="3"/>
  <c r="U82" i="3"/>
  <c r="AP72" i="3"/>
  <c r="Q74" i="3"/>
  <c r="U74" i="3"/>
  <c r="U76" i="3" s="1"/>
  <c r="Q82" i="3"/>
  <c r="Q77" i="3"/>
  <c r="Q76" i="3"/>
  <c r="Q73" i="3"/>
  <c r="AQ82" i="3"/>
  <c r="AS83" i="3"/>
  <c r="AQ83" i="3"/>
  <c r="BA82" i="3"/>
  <c r="AY82" i="3"/>
  <c r="AW82" i="3"/>
  <c r="AU82" i="3"/>
  <c r="AS82" i="3"/>
  <c r="AQ77" i="3"/>
  <c r="AO77" i="3"/>
  <c r="AN77" i="3"/>
  <c r="AM77" i="3"/>
  <c r="BA78" i="3"/>
  <c r="AY78" i="3"/>
  <c r="AW78" i="3"/>
  <c r="AU78" i="3"/>
  <c r="AS78" i="3"/>
  <c r="AQ78" i="3"/>
  <c r="BA77" i="3"/>
  <c r="AY77" i="3"/>
  <c r="AW77" i="3"/>
  <c r="AU77" i="3"/>
  <c r="AS77" i="3"/>
  <c r="AO78" i="3"/>
  <c r="AM78" i="3"/>
  <c r="AC89" i="3"/>
  <c r="AC88" i="3"/>
  <c r="AL78" i="3"/>
  <c r="AL77" i="3"/>
  <c r="AL79" i="3"/>
  <c r="AL80" i="3"/>
  <c r="AN78" i="3"/>
  <c r="AD72" i="3"/>
  <c r="AD27" i="3" s="1"/>
  <c r="U77" i="3" l="1"/>
  <c r="U80" i="3"/>
  <c r="U72" i="3"/>
  <c r="AM79" i="3"/>
  <c r="AM80" i="3" s="1"/>
  <c r="AN79" i="3" l="1"/>
  <c r="Q81" i="3"/>
  <c r="Q64" i="3"/>
  <c r="Q63" i="3"/>
  <c r="AC76" i="3"/>
  <c r="AC75" i="3"/>
  <c r="U47" i="3"/>
  <c r="AC74" i="3" s="1"/>
  <c r="U43" i="3"/>
  <c r="AB78" i="3" s="1"/>
  <c r="U38" i="3"/>
  <c r="AC73" i="3" s="1"/>
  <c r="AB77" i="3"/>
  <c r="U27" i="3"/>
  <c r="AC72" i="3" s="1"/>
  <c r="U26" i="3"/>
  <c r="AC78" i="3" s="1"/>
  <c r="U25" i="3"/>
  <c r="AD78" i="3" s="1"/>
  <c r="U22" i="3"/>
  <c r="AB76" i="3" s="1"/>
  <c r="U16" i="3"/>
  <c r="AB75" i="3" s="1"/>
  <c r="U14" i="3"/>
  <c r="AB74" i="3" s="1"/>
  <c r="U11" i="3"/>
  <c r="AB73" i="3" s="1"/>
  <c r="U6" i="3"/>
  <c r="AB72" i="3" s="1"/>
  <c r="T6" i="3"/>
  <c r="T61" i="3"/>
  <c r="T54" i="3"/>
  <c r="T47" i="3"/>
  <c r="T43" i="3"/>
  <c r="T38" i="3"/>
  <c r="T34" i="3"/>
  <c r="T33" i="3"/>
  <c r="T27" i="3"/>
  <c r="T26" i="3"/>
  <c r="T25" i="3"/>
  <c r="T22" i="3"/>
  <c r="T16" i="3"/>
  <c r="T14" i="3"/>
  <c r="T11" i="3"/>
  <c r="AC33" i="3" l="1"/>
  <c r="AD33" i="3"/>
  <c r="AE78" i="3"/>
  <c r="AB33" i="3"/>
  <c r="AC90" i="3"/>
  <c r="AC91" i="3" s="1"/>
  <c r="AB83" i="3"/>
  <c r="AB27" i="3"/>
  <c r="AF72" i="3"/>
  <c r="AC27" i="3"/>
  <c r="AD84" i="3"/>
  <c r="AC83" i="3"/>
  <c r="AC84" i="3"/>
  <c r="T63" i="3"/>
  <c r="AF78" i="3"/>
  <c r="AD83" i="3"/>
  <c r="T64" i="3"/>
  <c r="U64" i="3"/>
  <c r="U63" i="3"/>
  <c r="AE72" i="3"/>
  <c r="AE33" i="3" l="1"/>
  <c r="AL65" i="3"/>
  <c r="AL64" i="3"/>
  <c r="AL63" i="3"/>
  <c r="AE27" i="3"/>
  <c r="AB35" i="3"/>
  <c r="AB34" i="3"/>
  <c r="AF27" i="3"/>
  <c r="AC34" i="3"/>
  <c r="AC38" i="3" s="1"/>
  <c r="AC35" i="3"/>
  <c r="AD35" i="3"/>
  <c r="AD34" i="3"/>
  <c r="AD38" i="3" s="1"/>
  <c r="AB84" i="3"/>
  <c r="AB38" i="3" l="1"/>
  <c r="AL68" i="3" s="1"/>
  <c r="AP68" i="3" s="1"/>
  <c r="AP65" i="3"/>
  <c r="AB90" i="3"/>
  <c r="AD90" i="3" s="1"/>
  <c r="AF33" i="3"/>
  <c r="AL67" i="3" s="1"/>
  <c r="AB88" i="3" l="1"/>
  <c r="AD88" i="3" s="1"/>
  <c r="AB89" i="3"/>
  <c r="AD89" i="3" s="1"/>
  <c r="AB91" i="3" l="1"/>
  <c r="AD91" i="3" s="1"/>
  <c r="AE90" i="3" s="1"/>
  <c r="AE88" i="3" l="1"/>
  <c r="AI88" i="3" s="1"/>
  <c r="AI90" i="3"/>
  <c r="AG90" i="3"/>
  <c r="AE89" i="3"/>
  <c r="AB92" i="3"/>
  <c r="AG88" i="3" l="1"/>
  <c r="AI89" i="3"/>
  <c r="AG89" i="3"/>
</calcChain>
</file>

<file path=xl/sharedStrings.xml><?xml version="1.0" encoding="utf-8"?>
<sst xmlns="http://schemas.openxmlformats.org/spreadsheetml/2006/main" count="684" uniqueCount="174">
  <si>
    <t>Category-wise Total Number of Registered Motor Vehicles (Non-Transport) in Million Plus Cities of India</t>
  </si>
  <si>
    <t>(As on 31st March, 2017)</t>
  </si>
  <si>
    <t>Milion Plus</t>
  </si>
  <si>
    <t>Cities</t>
  </si>
  <si>
    <t>Non-Transport</t>
  </si>
  <si>
    <t>Two Wheelers</t>
  </si>
  <si>
    <t>Cars</t>
  </si>
  <si>
    <t>Jeeps</t>
  </si>
  <si>
    <t>Omni</t>
  </si>
  <si>
    <t>Buses</t>
  </si>
  <si>
    <t>Tractors</t>
  </si>
  <si>
    <t>Trailers</t>
  </si>
  <si>
    <t>Other</t>
  </si>
  <si>
    <t>Total Non-</t>
  </si>
  <si>
    <t>Transport</t>
  </si>
  <si>
    <t>Scooters</t>
  </si>
  <si>
    <t>Mopeds</t>
  </si>
  <si>
    <t>Motor Cycles</t>
  </si>
  <si>
    <t>Agra</t>
  </si>
  <si>
    <t>Ahmedabad</t>
  </si>
  <si>
    <t>***</t>
  </si>
  <si>
    <t>Allahabad</t>
  </si>
  <si>
    <t>Allappuzha</t>
  </si>
  <si>
    <t>^</t>
  </si>
  <si>
    <t>$$</t>
  </si>
  <si>
    <t>Aurangabad</t>
  </si>
  <si>
    <t>Bengaluru</t>
  </si>
  <si>
    <t>Bhopal</t>
  </si>
  <si>
    <t>Chandigarh</t>
  </si>
  <si>
    <t>Chennai</t>
  </si>
  <si>
    <t>Coimbatore</t>
  </si>
  <si>
    <t>Delhi</t>
  </si>
  <si>
    <t>Dhanbad</t>
  </si>
  <si>
    <t>Drug Bhilai</t>
  </si>
  <si>
    <t>Ghaziabad</t>
  </si>
  <si>
    <t>Greater Mumbai</t>
  </si>
  <si>
    <t>Hyderabad</t>
  </si>
  <si>
    <t>Indore</t>
  </si>
  <si>
    <t>Jaipur</t>
  </si>
  <si>
    <t>Jameshedpur</t>
  </si>
  <si>
    <t>Jodhpur</t>
  </si>
  <si>
    <t>Kannur</t>
  </si>
  <si>
    <t>Kanpur</t>
  </si>
  <si>
    <t>Kolkata</t>
  </si>
  <si>
    <t>*</t>
  </si>
  <si>
    <t>**</t>
  </si>
  <si>
    <t>Kota</t>
  </si>
  <si>
    <t>Lucknow</t>
  </si>
  <si>
    <t>Madhurai</t>
  </si>
  <si>
    <t>Malappuram</t>
  </si>
  <si>
    <t>Meerut</t>
  </si>
  <si>
    <t>Nagpur</t>
  </si>
  <si>
    <t>Nashik</t>
  </si>
  <si>
    <t>Palakkad</t>
  </si>
  <si>
    <t>Patna</t>
  </si>
  <si>
    <t>Pune</t>
  </si>
  <si>
    <t>Raipur</t>
  </si>
  <si>
    <t>Rajkot</t>
  </si>
  <si>
    <t>Ranchi</t>
  </si>
  <si>
    <t>Srinagar</t>
  </si>
  <si>
    <t>Surat</t>
  </si>
  <si>
    <t>Trichy</t>
  </si>
  <si>
    <t>Thiruvananthapuram</t>
  </si>
  <si>
    <t>Varansi</t>
  </si>
  <si>
    <t>Vadodara</t>
  </si>
  <si>
    <t>Total</t>
  </si>
  <si>
    <t>Share in Total</t>
  </si>
  <si>
    <t>-</t>
  </si>
  <si>
    <t>Note : * : Category-wise break up is not Available. </t>
  </si>
  <si>
    <t>          ** : Included in Tractors. </t>
  </si>
  <si>
    <t>          *** : Included in Scooters. </t>
  </si>
  <si>
    <t>          ^ : Included in Cars. </t>
  </si>
  <si>
    <t>          $$ : Included in Contract Carriage. </t>
  </si>
  <si>
    <t>             : There are 55 Agglomerations in India as on date of which information on registered motor Vechiles has  </t>
  </si>
  <si>
    <t>               not been provided by 13 i.e. Kochi, Kozhikode, Thrissur, Ludhiyana, Vijayawada, Faridabad, Jabalpur,  </t>
  </si>
  <si>
    <t>               Gawalior, Vasi-Virar, Kollam, Amritsar, Asansol and Vishakhapatnam. </t>
  </si>
  <si>
    <t>Source : Ministry of Road Transport &amp; Highways Govt. of India. (ON2250) </t>
  </si>
  <si>
    <t>  </t>
  </si>
  <si>
    <t>Number of Total Registered Motor Vehicles in Metropolitan Cities of India</t>
  </si>
  <si>
    <t>Metro City</t>
  </si>
  <si>
    <t>Amritsar</t>
  </si>
  <si>
    <t>Durg Bhilai</t>
  </si>
  <si>
    <t>Greater Mumbai</t>
  </si>
  <si>
    <t>Gwalior</t>
  </si>
  <si>
    <t>951$</t>
  </si>
  <si>
    <t>Jabalpur</t>
  </si>
  <si>
    <t>644#</t>
  </si>
  <si>
    <t>Jamshedpur</t>
  </si>
  <si>
    <t>425^</t>
  </si>
  <si>
    <t>Kochi</t>
  </si>
  <si>
    <t>152**</t>
  </si>
  <si>
    <t>166^</t>
  </si>
  <si>
    <t>664 @</t>
  </si>
  <si>
    <t>Kollam</t>
  </si>
  <si>
    <t>Kozhikode</t>
  </si>
  <si>
    <t>615^</t>
  </si>
  <si>
    <t>Ludhiana</t>
  </si>
  <si>
    <t>Madurai</t>
  </si>
  <si>
    <t>Mumbai</t>
  </si>
  <si>
    <t>336^</t>
  </si>
  <si>
    <t>692*</t>
  </si>
  <si>
    <t>Thrissur</t>
  </si>
  <si>
    <t>Tiruchirapalli</t>
  </si>
  <si>
    <t>586*</t>
  </si>
  <si>
    <t>Varanasi</t>
  </si>
  <si>
    <t>366^</t>
  </si>
  <si>
    <t>Vijayawada</t>
  </si>
  <si>
    <t>Visakhapatnam</t>
  </si>
  <si>
    <t>209$</t>
  </si>
  <si>
    <t>Gurugram</t>
  </si>
  <si>
    <t>Guwahati</t>
  </si>
  <si>
    <t>Jorapokhar</t>
  </si>
  <si>
    <t>Area in sq.km</t>
  </si>
  <si>
    <t>Car Density</t>
  </si>
  <si>
    <t>A</t>
  </si>
  <si>
    <t>B</t>
  </si>
  <si>
    <t>Mean AQI</t>
  </si>
  <si>
    <t xml:space="preserve"> City                                                                                    No. of cars</t>
  </si>
  <si>
    <t>Tier 1</t>
  </si>
  <si>
    <t>Tier 3</t>
  </si>
  <si>
    <t>Tier 2</t>
  </si>
  <si>
    <t>Tiers</t>
  </si>
  <si>
    <t>No. of Cars</t>
  </si>
  <si>
    <t>Tier I</t>
  </si>
  <si>
    <t>Tier II</t>
  </si>
  <si>
    <t>Tier III</t>
  </si>
  <si>
    <t>T 1</t>
  </si>
  <si>
    <t>T 2</t>
  </si>
  <si>
    <t>T 3</t>
  </si>
  <si>
    <t>T1</t>
  </si>
  <si>
    <t>T2</t>
  </si>
  <si>
    <t>T3</t>
  </si>
  <si>
    <t>max value</t>
  </si>
  <si>
    <t>min value</t>
  </si>
  <si>
    <t>0 to 20</t>
  </si>
  <si>
    <t>20&gt;</t>
  </si>
  <si>
    <t>N</t>
  </si>
  <si>
    <t>TSS</t>
  </si>
  <si>
    <t>G</t>
  </si>
  <si>
    <t>SST</t>
  </si>
  <si>
    <t>SSB</t>
  </si>
  <si>
    <t>q</t>
  </si>
  <si>
    <t>p</t>
  </si>
  <si>
    <t>pq</t>
  </si>
  <si>
    <t>SSTB</t>
  </si>
  <si>
    <t xml:space="preserve">SSE </t>
  </si>
  <si>
    <t>SOURCE OF
VARIATION</t>
  </si>
  <si>
    <t>SUM OF 
SQUARES</t>
  </si>
  <si>
    <t>DF</t>
  </si>
  <si>
    <t>MS</t>
  </si>
  <si>
    <t>F VALUE</t>
  </si>
  <si>
    <t>Accept / 
Reject</t>
  </si>
  <si>
    <t>F TABULATED
(α = 0.25)</t>
  </si>
  <si>
    <t>Treatment</t>
  </si>
  <si>
    <t>Block</t>
  </si>
  <si>
    <t>Interaction Effect</t>
  </si>
  <si>
    <t>Error</t>
  </si>
  <si>
    <t>Ti.</t>
  </si>
  <si>
    <t>mi.</t>
  </si>
  <si>
    <t>T.j</t>
  </si>
  <si>
    <t>m.i</t>
  </si>
  <si>
    <r>
      <t>∑y</t>
    </r>
    <r>
      <rPr>
        <b/>
        <vertAlign val="subscript"/>
        <sz val="14"/>
        <color theme="1"/>
        <rFont val="Calibri (Body)"/>
      </rPr>
      <t>ijk</t>
    </r>
    <r>
      <rPr>
        <b/>
        <vertAlign val="superscript"/>
        <sz val="14"/>
        <color theme="1"/>
        <rFont val="Calibri (Body)"/>
      </rPr>
      <t>2</t>
    </r>
  </si>
  <si>
    <r>
      <t>∑T</t>
    </r>
    <r>
      <rPr>
        <b/>
        <vertAlign val="subscript"/>
        <sz val="14"/>
        <color theme="1"/>
        <rFont val="Calibri (Body)"/>
      </rPr>
      <t>i.</t>
    </r>
    <r>
      <rPr>
        <b/>
        <vertAlign val="superscript"/>
        <sz val="14"/>
        <color theme="1"/>
        <rFont val="Calibri (Body)"/>
      </rPr>
      <t xml:space="preserve">2 </t>
    </r>
    <r>
      <rPr>
        <b/>
        <sz val="14"/>
        <color theme="1"/>
        <rFont val="Calibri (Body)"/>
      </rPr>
      <t>/ m</t>
    </r>
    <r>
      <rPr>
        <b/>
        <vertAlign val="subscript"/>
        <sz val="14"/>
        <color theme="1"/>
        <rFont val="Calibri (Body)"/>
      </rPr>
      <t>i.</t>
    </r>
  </si>
  <si>
    <r>
      <t>∑T</t>
    </r>
    <r>
      <rPr>
        <b/>
        <vertAlign val="subscript"/>
        <sz val="14"/>
        <color theme="1"/>
        <rFont val="Calibri (Body)"/>
      </rPr>
      <t>.j</t>
    </r>
    <r>
      <rPr>
        <b/>
        <vertAlign val="superscript"/>
        <sz val="14"/>
        <color theme="1"/>
        <rFont val="Calibri (Body)"/>
      </rPr>
      <t xml:space="preserve">2 </t>
    </r>
    <r>
      <rPr>
        <b/>
        <sz val="14"/>
        <color theme="1"/>
        <rFont val="Calibri (Body)"/>
      </rPr>
      <t>/ m</t>
    </r>
    <r>
      <rPr>
        <b/>
        <vertAlign val="subscript"/>
        <sz val="14"/>
        <color theme="1"/>
        <rFont val="Calibri (Body)"/>
      </rPr>
      <t>.j</t>
    </r>
  </si>
  <si>
    <r>
      <t>∑T</t>
    </r>
    <r>
      <rPr>
        <b/>
        <vertAlign val="subscript"/>
        <sz val="14"/>
        <color theme="1"/>
        <rFont val="Calibri (Body)"/>
      </rPr>
      <t>ij</t>
    </r>
    <r>
      <rPr>
        <b/>
        <vertAlign val="superscript"/>
        <sz val="14"/>
        <color theme="1"/>
        <rFont val="Calibri (Body)"/>
      </rPr>
      <t>2</t>
    </r>
  </si>
  <si>
    <r>
      <t>G</t>
    </r>
    <r>
      <rPr>
        <b/>
        <vertAlign val="superscript"/>
        <sz val="14"/>
        <color theme="1"/>
        <rFont val="Calibri (Body)"/>
      </rPr>
      <t>2</t>
    </r>
    <r>
      <rPr>
        <b/>
        <sz val="14"/>
        <color theme="1"/>
        <rFont val="Calibri (Body)"/>
      </rPr>
      <t>/N</t>
    </r>
  </si>
  <si>
    <t>h</t>
  </si>
  <si>
    <t>k</t>
  </si>
  <si>
    <r>
      <t>F TABULATED
(</t>
    </r>
    <r>
      <rPr>
        <b/>
        <sz val="11"/>
        <color theme="1"/>
        <rFont val="Calibri Light"/>
        <family val="2"/>
      </rPr>
      <t>α</t>
    </r>
    <r>
      <rPr>
        <b/>
        <sz val="11"/>
        <color theme="1"/>
        <rFont val="Calibri"/>
        <family val="2"/>
        <scheme val="minor"/>
      </rPr>
      <t xml:space="preserve"> = 0.20)</t>
    </r>
  </si>
  <si>
    <r>
      <t>F TABULATED
(</t>
    </r>
    <r>
      <rPr>
        <b/>
        <sz val="11"/>
        <color theme="1"/>
        <rFont val="Calibri Light"/>
        <family val="2"/>
      </rPr>
      <t>α</t>
    </r>
    <r>
      <rPr>
        <b/>
        <sz val="11"/>
        <color theme="1"/>
        <rFont val="Calibri"/>
        <family val="2"/>
        <scheme val="minor"/>
      </rPr>
      <t xml:space="preserve"> = 0.15)</t>
    </r>
  </si>
  <si>
    <r>
      <t>F TABULATED
(</t>
    </r>
    <r>
      <rPr>
        <b/>
        <sz val="11"/>
        <color theme="1"/>
        <rFont val="Calibri Light"/>
        <family val="2"/>
      </rPr>
      <t>α</t>
    </r>
    <r>
      <rPr>
        <b/>
        <sz val="11"/>
        <color theme="1"/>
        <rFont val="Calibri"/>
        <family val="2"/>
        <scheme val="minor"/>
      </rPr>
      <t xml:space="preserve"> = 0.1)</t>
    </r>
  </si>
  <si>
    <r>
      <t>F TABULATED
(</t>
    </r>
    <r>
      <rPr>
        <b/>
        <sz val="11"/>
        <color theme="1"/>
        <rFont val="Calibri Light"/>
        <family val="2"/>
      </rPr>
      <t>α</t>
    </r>
    <r>
      <rPr>
        <b/>
        <sz val="11"/>
        <color theme="1"/>
        <rFont val="Calibri"/>
        <family val="2"/>
        <scheme val="minor"/>
      </rPr>
      <t xml:space="preserve"> = 0.05)</t>
    </r>
  </si>
  <si>
    <r>
      <t>F TABULATED
(</t>
    </r>
    <r>
      <rPr>
        <b/>
        <sz val="11"/>
        <color theme="1"/>
        <rFont val="Calibri Light"/>
        <family val="2"/>
      </rPr>
      <t>α</t>
    </r>
    <r>
      <rPr>
        <b/>
        <sz val="11"/>
        <color theme="1"/>
        <rFont val="Calibri"/>
        <family val="2"/>
        <scheme val="minor"/>
      </rPr>
      <t xml:space="preserve"> = 0.025)</t>
    </r>
  </si>
  <si>
    <r>
      <t>F TABULATED
(</t>
    </r>
    <r>
      <rPr>
        <sz val="12"/>
        <color theme="1"/>
        <rFont val="Calibri Light"/>
        <family val="2"/>
      </rPr>
      <t>α</t>
    </r>
    <r>
      <rPr>
        <sz val="12"/>
        <color theme="1"/>
        <rFont val="Calibri"/>
        <family val="2"/>
        <scheme val="minor"/>
      </rPr>
      <t xml:space="preserve"> = 0.05)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</si>
</sst>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FFFFF"/>
      <name val="Verdana"/>
      <family val="2"/>
    </font>
    <font>
      <b/>
      <sz val="11"/>
      <color rgb="FF000000"/>
      <name val="Verdana"/>
      <family val="2"/>
    </font>
    <font>
      <sz val="11"/>
      <color rgb="FF000000"/>
      <name val="Verdana"/>
      <family val="2"/>
    </font>
    <font>
      <sz val="7.5"/>
      <color rgb="FF808080"/>
      <name val="Verdana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9C0006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rgb="FF9C5700"/>
      <name val="Calibri"/>
      <family val="2"/>
      <scheme val="minor"/>
    </font>
    <font>
      <sz val="14"/>
      <color theme="1"/>
      <name val="Calibri (Body)"/>
    </font>
    <font>
      <sz val="14"/>
      <color rgb="FF9C0006"/>
      <name val="Calibri (Body)"/>
    </font>
    <font>
      <sz val="14"/>
      <color rgb="FF9C5700"/>
      <name val="Calibri (Body)"/>
    </font>
    <font>
      <sz val="14"/>
      <color rgb="FF006100"/>
      <name val="Calibri (Body)"/>
    </font>
    <font>
      <b/>
      <sz val="14"/>
      <color theme="1"/>
      <name val="Calibri (Body)"/>
    </font>
    <font>
      <b/>
      <vertAlign val="subscript"/>
      <sz val="14"/>
      <color theme="1"/>
      <name val="Calibri (Body)"/>
    </font>
    <font>
      <b/>
      <vertAlign val="superscript"/>
      <sz val="14"/>
      <color theme="1"/>
      <name val="Calibri (Body)"/>
    </font>
    <font>
      <sz val="14"/>
      <color rgb="FFFF0000"/>
      <name val="Calibri (Body)"/>
    </font>
    <font>
      <sz val="14"/>
      <color rgb="FF00B050"/>
      <name val="Calibri (Body)"/>
    </font>
    <font>
      <sz val="14"/>
      <color theme="0"/>
      <name val="Calibri (Body)"/>
    </font>
    <font>
      <b/>
      <sz val="11"/>
      <color theme="1"/>
      <name val="Calibri Light"/>
      <family val="2"/>
    </font>
    <font>
      <sz val="12"/>
      <color theme="1"/>
      <name val="Calibri Light"/>
      <family val="2"/>
    </font>
    <font>
      <b/>
      <sz val="18"/>
      <color rgb="FF9C5700"/>
      <name val="Calibri"/>
      <family val="2"/>
      <scheme val="minor"/>
    </font>
    <font>
      <sz val="14"/>
      <color rgb="FF002029"/>
      <name val="Arial"/>
    </font>
    <font>
      <b/>
      <sz val="11"/>
      <color rgb="FF000000"/>
      <name val="Calibri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00"/>
        <bgColor indexed="64"/>
      </patternFill>
    </fill>
    <fill>
      <patternFill patternType="solid">
        <fgColor rgb="FFE3E0E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BCA6"/>
      </patternFill>
    </fill>
    <fill>
      <patternFill patternType="solid">
        <fgColor rgb="FFD5D3F4"/>
      </patternFill>
    </fill>
    <fill>
      <patternFill patternType="solid">
        <fgColor rgb="FFE6B4F6"/>
      </patternFill>
    </fill>
    <fill>
      <patternFill patternType="solid">
        <fgColor rgb="FFFDADD8"/>
      </patternFill>
    </fill>
    <fill>
      <patternFill patternType="solid">
        <fgColor rgb="FFD4DEAD"/>
      </patternFill>
    </fill>
    <fill>
      <patternFill patternType="solid">
        <fgColor rgb="FF91ACC5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medium">
        <color rgb="FF043A5B"/>
      </left>
      <right style="medium">
        <color rgb="FF043A5B"/>
      </right>
      <top style="medium">
        <color rgb="FF043A5B"/>
      </top>
      <bottom style="medium">
        <color rgb="FF043A5B"/>
      </bottom>
      <diagonal/>
    </border>
  </borders>
  <cellStyleXfs count="4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7" fillId="41" borderId="24" applyBorder="0" applyAlignment="0"/>
    <xf numFmtId="0" fontId="1" fillId="42" borderId="4" applyAlignment="0"/>
    <xf numFmtId="0" fontId="24" fillId="43" borderId="24"/>
    <xf numFmtId="0" fontId="1" fillId="44" borderId="24">
      <alignment horizontal="center"/>
    </xf>
    <xf numFmtId="0" fontId="1" fillId="45" borderId="0"/>
    <xf numFmtId="0" fontId="23" fillId="46" borderId="0" applyBorder="0" applyAlignment="0"/>
  </cellStyleXfs>
  <cellXfs count="98">
    <xf numFmtId="0" fontId="0" fillId="0" borderId="0" xfId="0"/>
    <xf numFmtId="0" fontId="19" fillId="34" borderId="17" xfId="0" applyFont="1" applyFill="1" applyBorder="1" applyAlignment="1">
      <alignment horizontal="left" wrapText="1"/>
    </xf>
    <xf numFmtId="0" fontId="19" fillId="34" borderId="18" xfId="0" applyFont="1" applyFill="1" applyBorder="1" applyAlignment="1">
      <alignment horizontal="left" wrapText="1"/>
    </xf>
    <xf numFmtId="0" fontId="19" fillId="34" borderId="19" xfId="0" applyFont="1" applyFill="1" applyBorder="1" applyAlignment="1">
      <alignment horizontal="left" wrapText="1"/>
    </xf>
    <xf numFmtId="0" fontId="19" fillId="34" borderId="17" xfId="0" applyFont="1" applyFill="1" applyBorder="1" applyAlignment="1">
      <alignment horizontal="right" wrapText="1"/>
    </xf>
    <xf numFmtId="0" fontId="19" fillId="34" borderId="19" xfId="0" applyFont="1" applyFill="1" applyBorder="1" applyAlignment="1">
      <alignment horizontal="right" wrapText="1"/>
    </xf>
    <xf numFmtId="0" fontId="19" fillId="34" borderId="10" xfId="0" applyFont="1" applyFill="1" applyBorder="1" applyAlignment="1">
      <alignment horizontal="right" wrapText="1"/>
    </xf>
    <xf numFmtId="0" fontId="20" fillId="35" borderId="10" xfId="0" applyFont="1" applyFill="1" applyBorder="1" applyAlignment="1">
      <alignment horizontal="left" wrapText="1"/>
    </xf>
    <xf numFmtId="0" fontId="20" fillId="36" borderId="10" xfId="0" applyFont="1" applyFill="1" applyBorder="1" applyAlignment="1">
      <alignment horizontal="right" wrapText="1"/>
    </xf>
    <xf numFmtId="0" fontId="20" fillId="35" borderId="10" xfId="0" applyFont="1" applyFill="1" applyBorder="1" applyAlignment="1">
      <alignment horizontal="right" wrapText="1"/>
    </xf>
    <xf numFmtId="0" fontId="19" fillId="35" borderId="10" xfId="0" applyFont="1" applyFill="1" applyBorder="1" applyAlignment="1">
      <alignment horizontal="left" wrapText="1"/>
    </xf>
    <xf numFmtId="0" fontId="19" fillId="36" borderId="10" xfId="0" applyFont="1" applyFill="1" applyBorder="1" applyAlignment="1">
      <alignment horizontal="right" wrapText="1"/>
    </xf>
    <xf numFmtId="0" fontId="19" fillId="35" borderId="10" xfId="0" applyFont="1" applyFill="1" applyBorder="1" applyAlignment="1">
      <alignment horizontal="right" wrapText="1"/>
    </xf>
    <xf numFmtId="0" fontId="21" fillId="35" borderId="0" xfId="0" applyFont="1" applyFill="1" applyAlignment="1">
      <alignment wrapText="1"/>
    </xf>
    <xf numFmtId="0" fontId="19" fillId="34" borderId="21" xfId="0" applyFont="1" applyFill="1" applyBorder="1" applyAlignment="1">
      <alignment horizontal="right" wrapText="1"/>
    </xf>
    <xf numFmtId="0" fontId="20" fillId="35" borderId="10" xfId="0" applyFont="1" applyFill="1" applyBorder="1" applyAlignment="1">
      <alignment horizontal="center" vertical="center" shrinkToFit="1"/>
    </xf>
    <xf numFmtId="0" fontId="19" fillId="35" borderId="10" xfId="0" applyFont="1" applyFill="1" applyBorder="1" applyAlignment="1">
      <alignment horizontal="center" vertical="center" shrinkToFit="1"/>
    </xf>
    <xf numFmtId="0" fontId="22" fillId="38" borderId="24" xfId="0" applyFont="1" applyFill="1" applyBorder="1"/>
    <xf numFmtId="0" fontId="0" fillId="0" borderId="24" xfId="0" applyBorder="1"/>
    <xf numFmtId="0" fontId="23" fillId="0" borderId="0" xfId="0" applyFont="1"/>
    <xf numFmtId="0" fontId="22" fillId="14" borderId="5" xfId="23" applyFont="1" applyBorder="1" applyAlignment="1">
      <alignment horizontal="center" vertical="center"/>
    </xf>
    <xf numFmtId="0" fontId="20" fillId="36" borderId="20" xfId="0" applyFont="1" applyFill="1" applyBorder="1" applyAlignment="1">
      <alignment horizontal="right" wrapText="1"/>
    </xf>
    <xf numFmtId="0" fontId="20" fillId="36" borderId="22" xfId="0" applyFont="1" applyFill="1" applyBorder="1" applyAlignment="1">
      <alignment horizontal="right" wrapText="1"/>
    </xf>
    <xf numFmtId="0" fontId="20" fillId="35" borderId="17" xfId="0" applyFont="1" applyFill="1" applyBorder="1" applyAlignment="1">
      <alignment horizontal="left" wrapText="1"/>
    </xf>
    <xf numFmtId="0" fontId="20" fillId="35" borderId="17" xfId="0" applyFont="1" applyFill="1" applyBorder="1" applyAlignment="1">
      <alignment horizontal="right" wrapText="1"/>
    </xf>
    <xf numFmtId="0" fontId="20" fillId="36" borderId="17" xfId="0" applyFont="1" applyFill="1" applyBorder="1" applyAlignment="1">
      <alignment horizontal="right" wrapText="1"/>
    </xf>
    <xf numFmtId="0" fontId="20" fillId="35" borderId="19" xfId="0" applyFont="1" applyFill="1" applyBorder="1" applyAlignment="1">
      <alignment horizontal="left" wrapText="1"/>
    </xf>
    <xf numFmtId="0" fontId="20" fillId="36" borderId="19" xfId="0" applyFont="1" applyFill="1" applyBorder="1" applyAlignment="1">
      <alignment horizontal="right" wrapText="1"/>
    </xf>
    <xf numFmtId="0" fontId="20" fillId="35" borderId="18" xfId="0" applyFont="1" applyFill="1" applyBorder="1" applyAlignment="1">
      <alignment horizontal="left" wrapText="1"/>
    </xf>
    <xf numFmtId="0" fontId="20" fillId="36" borderId="18" xfId="0" applyFont="1" applyFill="1" applyBorder="1" applyAlignment="1">
      <alignment horizontal="right" wrapText="1"/>
    </xf>
    <xf numFmtId="0" fontId="22" fillId="14" borderId="21" xfId="23" applyFont="1" applyBorder="1" applyAlignment="1">
      <alignment horizontal="right" vertical="center" wrapText="1"/>
    </xf>
    <xf numFmtId="0" fontId="22" fillId="14" borderId="22" xfId="23" applyFont="1" applyBorder="1" applyAlignment="1">
      <alignment horizontal="right" vertical="center" wrapText="1"/>
    </xf>
    <xf numFmtId="0" fontId="19" fillId="35" borderId="19" xfId="0" applyFont="1" applyFill="1" applyBorder="1" applyAlignment="1">
      <alignment horizontal="left" wrapText="1"/>
    </xf>
    <xf numFmtId="0" fontId="22" fillId="14" borderId="24" xfId="23" applyFont="1" applyBorder="1" applyAlignment="1">
      <alignment horizontal="left" vertical="center" wrapText="1"/>
    </xf>
    <xf numFmtId="0" fontId="25" fillId="3" borderId="24" xfId="7" applyFont="1" applyBorder="1"/>
    <xf numFmtId="0" fontId="23" fillId="0" borderId="24" xfId="0" applyFont="1" applyBorder="1"/>
    <xf numFmtId="0" fontId="23" fillId="0" borderId="24" xfId="0" applyFont="1" applyBorder="1" applyAlignment="1">
      <alignment horizontal="right" vertical="center"/>
    </xf>
    <xf numFmtId="0" fontId="23" fillId="0" borderId="27" xfId="0" applyFont="1" applyBorder="1" applyAlignment="1">
      <alignment horizontal="right" vertical="center"/>
    </xf>
    <xf numFmtId="0" fontId="26" fillId="2" borderId="24" xfId="6" applyFont="1" applyBorder="1"/>
    <xf numFmtId="0" fontId="27" fillId="4" borderId="24" xfId="8" applyFont="1" applyBorder="1"/>
    <xf numFmtId="0" fontId="28" fillId="0" borderId="0" xfId="0" applyFont="1"/>
    <xf numFmtId="0" fontId="28" fillId="0" borderId="24" xfId="0" applyFont="1" applyBorder="1"/>
    <xf numFmtId="0" fontId="29" fillId="3" borderId="24" xfId="7" applyFont="1" applyBorder="1"/>
    <xf numFmtId="0" fontId="30" fillId="4" borderId="24" xfId="8" applyFont="1" applyBorder="1"/>
    <xf numFmtId="0" fontId="31" fillId="2" borderId="24" xfId="6" applyFont="1" applyBorder="1"/>
    <xf numFmtId="0" fontId="32" fillId="39" borderId="24" xfId="0" applyFont="1" applyFill="1" applyBorder="1" applyAlignment="1">
      <alignment horizontal="left"/>
    </xf>
    <xf numFmtId="0" fontId="32" fillId="0" borderId="0" xfId="0" applyFont="1"/>
    <xf numFmtId="0" fontId="32" fillId="40" borderId="24" xfId="0" applyFont="1" applyFill="1" applyBorder="1"/>
    <xf numFmtId="0" fontId="32" fillId="39" borderId="24" xfId="0" applyFont="1" applyFill="1" applyBorder="1"/>
    <xf numFmtId="0" fontId="35" fillId="0" borderId="24" xfId="0" applyFont="1" applyBorder="1" applyAlignment="1">
      <alignment horizontal="center" vertical="center"/>
    </xf>
    <xf numFmtId="0" fontId="36" fillId="0" borderId="24" xfId="0" applyFont="1" applyBorder="1" applyAlignment="1">
      <alignment horizontal="center" vertical="center"/>
    </xf>
    <xf numFmtId="0" fontId="37" fillId="41" borderId="24" xfId="42" applyFont="1" applyBorder="1" applyAlignment="1">
      <alignment horizontal="center" vertical="center"/>
    </xf>
    <xf numFmtId="0" fontId="28" fillId="42" borderId="24" xfId="43" applyFont="1" applyBorder="1" applyAlignment="1">
      <alignment horizontal="center" vertical="center"/>
    </xf>
    <xf numFmtId="0" fontId="28" fillId="0" borderId="0" xfId="0" applyFont="1" applyBorder="1"/>
    <xf numFmtId="0" fontId="32" fillId="43" borderId="24" xfId="44" applyFont="1"/>
    <xf numFmtId="0" fontId="23" fillId="0" borderId="25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/>
    </xf>
    <xf numFmtId="0" fontId="23" fillId="0" borderId="24" xfId="0" applyFont="1" applyBorder="1" applyAlignment="1">
      <alignment horizontal="center" vertical="center"/>
    </xf>
    <xf numFmtId="0" fontId="17" fillId="41" borderId="28" xfId="42" applyBorder="1" applyAlignment="1">
      <alignment horizontal="center" vertical="center"/>
    </xf>
    <xf numFmtId="0" fontId="1" fillId="42" borderId="29" xfId="43" applyBorder="1" applyAlignment="1">
      <alignment horizontal="center" vertical="center"/>
    </xf>
    <xf numFmtId="0" fontId="1" fillId="45" borderId="28" xfId="46" applyBorder="1" applyAlignment="1">
      <alignment horizontal="center" vertical="center"/>
    </xf>
    <xf numFmtId="0" fontId="23" fillId="0" borderId="26" xfId="0" applyFont="1" applyBorder="1" applyAlignment="1">
      <alignment horizontal="center"/>
    </xf>
    <xf numFmtId="0" fontId="7" fillId="3" borderId="24" xfId="7" applyBorder="1" applyAlignment="1">
      <alignment horizontal="center"/>
    </xf>
    <xf numFmtId="0" fontId="8" fillId="4" borderId="24" xfId="8" applyBorder="1" applyAlignment="1">
      <alignment horizontal="center"/>
    </xf>
    <xf numFmtId="0" fontId="6" fillId="2" borderId="24" xfId="6" applyBorder="1" applyAlignment="1">
      <alignment horizontal="center"/>
    </xf>
    <xf numFmtId="0" fontId="24" fillId="43" borderId="24" xfId="44" applyBorder="1" applyAlignment="1">
      <alignment horizontal="center" vertical="center"/>
    </xf>
    <xf numFmtId="0" fontId="16" fillId="22" borderId="4" xfId="31" applyFont="1" applyBorder="1" applyAlignment="1">
      <alignment horizontal="center" vertical="center"/>
    </xf>
    <xf numFmtId="0" fontId="16" fillId="22" borderId="24" xfId="31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4" fillId="39" borderId="24" xfId="0" applyFont="1" applyFill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0" fontId="24" fillId="37" borderId="24" xfId="0" applyFont="1" applyFill="1" applyBorder="1" applyAlignment="1">
      <alignment horizontal="center" vertical="center" wrapText="1"/>
    </xf>
    <xf numFmtId="0" fontId="24" fillId="37" borderId="24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0" fontId="40" fillId="4" borderId="5" xfId="8" applyFont="1" applyBorder="1" applyAlignment="1">
      <alignment horizontal="center" vertical="center"/>
    </xf>
    <xf numFmtId="0" fontId="41" fillId="0" borderId="30" xfId="0" applyFont="1" applyBorder="1" applyAlignment="1">
      <alignment horizontal="center" vertical="center" wrapText="1" readingOrder="1"/>
    </xf>
    <xf numFmtId="0" fontId="42" fillId="47" borderId="30" xfId="0" applyFont="1" applyFill="1" applyBorder="1" applyAlignment="1">
      <alignment horizontal="center" vertical="center" wrapText="1" readingOrder="1"/>
    </xf>
    <xf numFmtId="0" fontId="42" fillId="0" borderId="30" xfId="0" applyFont="1" applyBorder="1" applyAlignment="1">
      <alignment horizontal="center" vertical="center" wrapText="1" readingOrder="1"/>
    </xf>
    <xf numFmtId="0" fontId="18" fillId="33" borderId="11" xfId="0" applyFont="1" applyFill="1" applyBorder="1" applyAlignment="1">
      <alignment horizontal="center" wrapText="1"/>
    </xf>
    <xf numFmtId="0" fontId="18" fillId="33" borderId="12" xfId="0" applyFont="1" applyFill="1" applyBorder="1" applyAlignment="1">
      <alignment horizontal="center" wrapText="1"/>
    </xf>
    <xf numFmtId="0" fontId="18" fillId="33" borderId="13" xfId="0" applyFont="1" applyFill="1" applyBorder="1" applyAlignment="1">
      <alignment horizontal="center" wrapText="1"/>
    </xf>
    <xf numFmtId="0" fontId="18" fillId="33" borderId="14" xfId="0" applyFont="1" applyFill="1" applyBorder="1" applyAlignment="1">
      <alignment horizontal="center" wrapText="1"/>
    </xf>
    <xf numFmtId="0" fontId="18" fillId="33" borderId="15" xfId="0" applyFont="1" applyFill="1" applyBorder="1" applyAlignment="1">
      <alignment horizontal="center" wrapText="1"/>
    </xf>
    <xf numFmtId="0" fontId="18" fillId="33" borderId="16" xfId="0" applyFont="1" applyFill="1" applyBorder="1" applyAlignment="1">
      <alignment horizontal="center" wrapText="1"/>
    </xf>
    <xf numFmtId="0" fontId="19" fillId="34" borderId="20" xfId="0" applyFont="1" applyFill="1" applyBorder="1" applyAlignment="1">
      <alignment horizontal="center" wrapText="1"/>
    </xf>
    <xf numFmtId="0" fontId="19" fillId="34" borderId="21" xfId="0" applyFont="1" applyFill="1" applyBorder="1" applyAlignment="1">
      <alignment horizontal="center" wrapText="1"/>
    </xf>
    <xf numFmtId="0" fontId="19" fillId="34" borderId="22" xfId="0" applyFont="1" applyFill="1" applyBorder="1" applyAlignment="1">
      <alignment horizontal="center" wrapText="1"/>
    </xf>
    <xf numFmtId="0" fontId="19" fillId="34" borderId="17" xfId="0" applyFont="1" applyFill="1" applyBorder="1" applyAlignment="1">
      <alignment horizontal="right" wrapText="1"/>
    </xf>
    <xf numFmtId="0" fontId="19" fillId="34" borderId="19" xfId="0" applyFont="1" applyFill="1" applyBorder="1" applyAlignment="1">
      <alignment horizontal="right" wrapText="1"/>
    </xf>
    <xf numFmtId="0" fontId="0" fillId="0" borderId="0" xfId="0"/>
    <xf numFmtId="0" fontId="28" fillId="8" borderId="24" xfId="15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18" fillId="33" borderId="23" xfId="0" applyFont="1" applyFill="1" applyBorder="1" applyAlignment="1">
      <alignment horizontal="center" wrapText="1"/>
    </xf>
  </cellXfs>
  <cellStyles count="48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Style 1" xfId="42" xr:uid="{14B27DF5-9035-FF41-9E3E-4AFB720AA92D}"/>
    <cellStyle name="Style 2" xfId="43" xr:uid="{1FBEDEBB-8358-3F42-9829-EC9A197136FA}"/>
    <cellStyle name="Style 3" xfId="44" xr:uid="{3563215A-814D-D643-9776-39D64F7E2546}"/>
    <cellStyle name="Style 4" xfId="45" xr:uid="{E59EC474-5B63-6741-829E-D4499996A1FB}"/>
    <cellStyle name="Style 5" xfId="46" xr:uid="{B908A279-623C-A74F-90E8-D41C74F3F5DA}"/>
    <cellStyle name="Style 6" xfId="47" xr:uid="{A431D0C1-E7C2-2A48-B56F-DEFF280C75CD}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91ACC5"/>
      <color rgb="FFD4DEAD"/>
      <color rgb="FFFDADD8"/>
      <color rgb="FFE6B4F6"/>
      <color rgb="FFD5D3F4"/>
      <color rgb="FFBFBC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60"/>
  <sheetViews>
    <sheetView showGridLines="0" workbookViewId="0">
      <selection activeCell="E6" sqref="E6:E49"/>
    </sheetView>
  </sheetViews>
  <sheetFormatPr baseColWidth="10" defaultRowHeight="16" x14ac:dyDescent="0.2"/>
  <cols>
    <col min="1" max="1" width="43.33203125" bestFit="1" customWidth="1"/>
    <col min="2" max="2" width="11.83203125" bestFit="1" customWidth="1"/>
    <col min="3" max="3" width="10.5" bestFit="1" customWidth="1"/>
    <col min="4" max="4" width="14.33203125" bestFit="1" customWidth="1"/>
    <col min="5" max="5" width="11.83203125" bestFit="1" customWidth="1"/>
    <col min="6" max="7" width="9.1640625" bestFit="1" customWidth="1"/>
    <col min="8" max="8" width="9.5" bestFit="1" customWidth="1"/>
    <col min="9" max="10" width="9.1640625" bestFit="1" customWidth="1"/>
    <col min="11" max="11" width="12" bestFit="1" customWidth="1"/>
  </cols>
  <sheetData>
    <row r="1" spans="1:11" ht="16" customHeight="1" x14ac:dyDescent="0.2">
      <c r="A1" s="81" t="s">
        <v>0</v>
      </c>
      <c r="B1" s="82"/>
      <c r="C1" s="82"/>
      <c r="D1" s="82"/>
      <c r="E1" s="82"/>
      <c r="F1" s="82"/>
      <c r="G1" s="82"/>
      <c r="H1" s="82"/>
      <c r="I1" s="82"/>
      <c r="J1" s="82"/>
      <c r="K1" s="83"/>
    </row>
    <row r="2" spans="1:11" ht="16" customHeight="1" x14ac:dyDescent="0.2">
      <c r="A2" s="84" t="s">
        <v>1</v>
      </c>
      <c r="B2" s="85"/>
      <c r="C2" s="85"/>
      <c r="D2" s="85"/>
      <c r="E2" s="85"/>
      <c r="F2" s="85"/>
      <c r="G2" s="85"/>
      <c r="H2" s="85"/>
      <c r="I2" s="85"/>
      <c r="J2" s="85"/>
      <c r="K2" s="86"/>
    </row>
    <row r="3" spans="1:11" x14ac:dyDescent="0.2">
      <c r="A3" s="1" t="s">
        <v>2</v>
      </c>
      <c r="B3" s="87" t="s">
        <v>4</v>
      </c>
      <c r="C3" s="88"/>
      <c r="D3" s="88"/>
      <c r="E3" s="88"/>
      <c r="F3" s="88"/>
      <c r="G3" s="88"/>
      <c r="H3" s="88"/>
      <c r="I3" s="88"/>
      <c r="J3" s="88"/>
      <c r="K3" s="89"/>
    </row>
    <row r="4" spans="1:11" x14ac:dyDescent="0.2">
      <c r="A4" s="2" t="s">
        <v>3</v>
      </c>
      <c r="B4" s="87" t="s">
        <v>5</v>
      </c>
      <c r="C4" s="88"/>
      <c r="D4" s="89"/>
      <c r="E4" s="90" t="s">
        <v>6</v>
      </c>
      <c r="F4" s="90" t="s">
        <v>7</v>
      </c>
      <c r="G4" s="4" t="s">
        <v>8</v>
      </c>
      <c r="H4" s="90" t="s">
        <v>10</v>
      </c>
      <c r="I4" s="90" t="s">
        <v>11</v>
      </c>
      <c r="J4" s="90" t="s">
        <v>12</v>
      </c>
      <c r="K4" s="4" t="s">
        <v>13</v>
      </c>
    </row>
    <row r="5" spans="1:11" ht="31" x14ac:dyDescent="0.2">
      <c r="A5" s="3"/>
      <c r="B5" s="6" t="s">
        <v>15</v>
      </c>
      <c r="C5" s="6" t="s">
        <v>16</v>
      </c>
      <c r="D5" s="6" t="s">
        <v>17</v>
      </c>
      <c r="E5" s="91"/>
      <c r="F5" s="91"/>
      <c r="G5" s="5" t="s">
        <v>9</v>
      </c>
      <c r="H5" s="91"/>
      <c r="I5" s="91"/>
      <c r="J5" s="91"/>
      <c r="K5" s="5" t="s">
        <v>14</v>
      </c>
    </row>
    <row r="6" spans="1:11" x14ac:dyDescent="0.2">
      <c r="A6" s="7" t="s">
        <v>18</v>
      </c>
      <c r="B6" s="8">
        <v>90736</v>
      </c>
      <c r="C6" s="9">
        <v>9208</v>
      </c>
      <c r="D6" s="8">
        <v>684602</v>
      </c>
      <c r="E6" s="9">
        <v>84557</v>
      </c>
      <c r="F6" s="8">
        <v>7143</v>
      </c>
      <c r="G6" s="9">
        <v>4120</v>
      </c>
      <c r="H6" s="8">
        <v>43741</v>
      </c>
      <c r="I6" s="9">
        <v>117</v>
      </c>
      <c r="J6" s="8">
        <v>1481</v>
      </c>
      <c r="K6" s="9">
        <v>925705</v>
      </c>
    </row>
    <row r="7" spans="1:11" x14ac:dyDescent="0.2">
      <c r="A7" s="7" t="s">
        <v>19</v>
      </c>
      <c r="B7" s="8">
        <v>2470474</v>
      </c>
      <c r="C7" s="9">
        <v>294835</v>
      </c>
      <c r="D7" s="8" t="s">
        <v>20</v>
      </c>
      <c r="E7" s="9">
        <v>634533</v>
      </c>
      <c r="F7" s="8">
        <v>30858</v>
      </c>
      <c r="G7" s="9">
        <v>0</v>
      </c>
      <c r="H7" s="8">
        <v>54315</v>
      </c>
      <c r="I7" s="9">
        <v>29094</v>
      </c>
      <c r="J7" s="8">
        <v>11473</v>
      </c>
      <c r="K7" s="9">
        <v>3525582</v>
      </c>
    </row>
    <row r="8" spans="1:11" x14ac:dyDescent="0.2">
      <c r="A8" s="7" t="s">
        <v>21</v>
      </c>
      <c r="B8" s="8">
        <v>124674</v>
      </c>
      <c r="C8" s="9">
        <v>55956</v>
      </c>
      <c r="D8" s="8">
        <v>722241</v>
      </c>
      <c r="E8" s="9">
        <v>15125</v>
      </c>
      <c r="F8" s="8">
        <v>10346</v>
      </c>
      <c r="G8" s="9">
        <v>53</v>
      </c>
      <c r="H8" s="8">
        <v>33626</v>
      </c>
      <c r="I8" s="9">
        <v>53</v>
      </c>
      <c r="J8" s="8">
        <v>3003</v>
      </c>
      <c r="K8" s="9">
        <v>965077</v>
      </c>
    </row>
    <row r="9" spans="1:11" x14ac:dyDescent="0.2">
      <c r="A9" s="7" t="s">
        <v>22</v>
      </c>
      <c r="B9" s="8">
        <v>0</v>
      </c>
      <c r="C9" s="9">
        <v>0</v>
      </c>
      <c r="D9" s="8">
        <v>148705</v>
      </c>
      <c r="E9" s="9">
        <v>31917</v>
      </c>
      <c r="F9" s="8" t="s">
        <v>23</v>
      </c>
      <c r="G9" s="9" t="s">
        <v>24</v>
      </c>
      <c r="H9" s="8">
        <v>271</v>
      </c>
      <c r="I9" s="9">
        <v>0</v>
      </c>
      <c r="J9" s="8">
        <v>2307</v>
      </c>
      <c r="K9" s="9">
        <v>183200</v>
      </c>
    </row>
    <row r="10" spans="1:11" x14ac:dyDescent="0.2">
      <c r="A10" s="7" t="s">
        <v>25</v>
      </c>
      <c r="B10" s="8">
        <v>45597</v>
      </c>
      <c r="C10" s="9">
        <v>19398</v>
      </c>
      <c r="D10" s="8">
        <v>343551</v>
      </c>
      <c r="E10" s="9">
        <v>28576</v>
      </c>
      <c r="F10" s="8">
        <v>11902</v>
      </c>
      <c r="G10" s="9">
        <v>183</v>
      </c>
      <c r="H10" s="8">
        <v>10620</v>
      </c>
      <c r="I10" s="9">
        <v>6119</v>
      </c>
      <c r="J10" s="8">
        <v>2152</v>
      </c>
      <c r="K10" s="9">
        <v>468098</v>
      </c>
    </row>
    <row r="11" spans="1:11" x14ac:dyDescent="0.2">
      <c r="A11" s="7" t="s">
        <v>26</v>
      </c>
      <c r="B11" s="8">
        <v>4731159</v>
      </c>
      <c r="C11" s="9">
        <v>0</v>
      </c>
      <c r="D11" s="8">
        <v>0</v>
      </c>
      <c r="E11" s="9">
        <v>1321815</v>
      </c>
      <c r="F11" s="8">
        <v>7672</v>
      </c>
      <c r="G11" s="9">
        <v>49117</v>
      </c>
      <c r="H11" s="8">
        <v>14638</v>
      </c>
      <c r="I11" s="9">
        <v>11150</v>
      </c>
      <c r="J11" s="8">
        <v>29607</v>
      </c>
      <c r="K11" s="9">
        <v>6165158</v>
      </c>
    </row>
    <row r="12" spans="1:11" x14ac:dyDescent="0.2">
      <c r="A12" s="7" t="s">
        <v>27</v>
      </c>
      <c r="B12" s="8">
        <v>121986</v>
      </c>
      <c r="C12" s="9">
        <v>0</v>
      </c>
      <c r="D12" s="8">
        <v>855740</v>
      </c>
      <c r="E12" s="9">
        <v>169138</v>
      </c>
      <c r="F12" s="8">
        <v>0</v>
      </c>
      <c r="G12" s="9">
        <v>19803</v>
      </c>
      <c r="H12" s="8">
        <v>20400</v>
      </c>
      <c r="I12" s="9">
        <v>0</v>
      </c>
      <c r="J12" s="8">
        <v>2306</v>
      </c>
      <c r="K12" s="9">
        <v>1189373</v>
      </c>
    </row>
    <row r="13" spans="1:11" x14ac:dyDescent="0.2">
      <c r="A13" s="7" t="s">
        <v>28</v>
      </c>
      <c r="B13" s="8">
        <v>175181</v>
      </c>
      <c r="C13" s="9">
        <v>1275</v>
      </c>
      <c r="D13" s="8">
        <v>190085</v>
      </c>
      <c r="E13" s="9">
        <v>469672</v>
      </c>
      <c r="F13" s="8">
        <v>24543</v>
      </c>
      <c r="G13" s="9">
        <v>0</v>
      </c>
      <c r="H13" s="8">
        <v>275</v>
      </c>
      <c r="I13" s="9">
        <v>0</v>
      </c>
      <c r="J13" s="8">
        <v>0</v>
      </c>
      <c r="K13" s="9">
        <v>861031</v>
      </c>
    </row>
    <row r="14" spans="1:11" x14ac:dyDescent="0.2">
      <c r="A14" s="7" t="s">
        <v>29</v>
      </c>
      <c r="B14" s="8">
        <v>809900</v>
      </c>
      <c r="C14" s="9">
        <v>601632</v>
      </c>
      <c r="D14" s="8">
        <v>2378160</v>
      </c>
      <c r="E14" s="9">
        <v>920473</v>
      </c>
      <c r="F14" s="8">
        <v>12699</v>
      </c>
      <c r="G14" s="9">
        <v>8820</v>
      </c>
      <c r="H14" s="8">
        <v>2754</v>
      </c>
      <c r="I14" s="9">
        <v>11773</v>
      </c>
      <c r="J14" s="8">
        <v>58369</v>
      </c>
      <c r="K14" s="9">
        <v>4804580</v>
      </c>
    </row>
    <row r="15" spans="1:11" x14ac:dyDescent="0.2">
      <c r="A15" s="7" t="s">
        <v>30</v>
      </c>
      <c r="B15" s="8">
        <v>371769</v>
      </c>
      <c r="C15" s="9">
        <v>328177</v>
      </c>
      <c r="D15" s="8">
        <v>970877</v>
      </c>
      <c r="E15" s="9">
        <v>254639</v>
      </c>
      <c r="F15" s="8">
        <v>5782</v>
      </c>
      <c r="G15" s="9">
        <v>306</v>
      </c>
      <c r="H15" s="8">
        <v>9961</v>
      </c>
      <c r="I15" s="9">
        <v>1349</v>
      </c>
      <c r="J15" s="8">
        <v>23600</v>
      </c>
      <c r="K15" s="9">
        <v>1966460</v>
      </c>
    </row>
    <row r="16" spans="1:11" x14ac:dyDescent="0.2">
      <c r="A16" s="7" t="s">
        <v>31</v>
      </c>
      <c r="B16" s="8">
        <v>6480874</v>
      </c>
      <c r="C16" s="9">
        <v>115119</v>
      </c>
      <c r="D16" s="8" t="s">
        <v>20</v>
      </c>
      <c r="E16" s="9">
        <v>3061817</v>
      </c>
      <c r="F16" s="8">
        <v>0</v>
      </c>
      <c r="G16" s="9">
        <v>4</v>
      </c>
      <c r="H16" s="8">
        <v>211</v>
      </c>
      <c r="I16" s="9">
        <v>0</v>
      </c>
      <c r="J16" s="8">
        <v>1620</v>
      </c>
      <c r="K16" s="9">
        <v>9659645</v>
      </c>
    </row>
    <row r="17" spans="1:11" x14ac:dyDescent="0.2">
      <c r="A17" s="7" t="s">
        <v>32</v>
      </c>
      <c r="B17" s="8">
        <v>29429</v>
      </c>
      <c r="C17" s="9">
        <v>1338</v>
      </c>
      <c r="D17" s="8">
        <v>462784</v>
      </c>
      <c r="E17" s="9">
        <v>69176</v>
      </c>
      <c r="F17" s="8">
        <v>12896</v>
      </c>
      <c r="G17" s="9">
        <v>0</v>
      </c>
      <c r="H17" s="8">
        <v>4721</v>
      </c>
      <c r="I17" s="9">
        <v>4142</v>
      </c>
      <c r="J17" s="8">
        <v>116</v>
      </c>
      <c r="K17" s="9">
        <v>584602</v>
      </c>
    </row>
    <row r="18" spans="1:11" x14ac:dyDescent="0.2">
      <c r="A18" s="7" t="s">
        <v>33</v>
      </c>
      <c r="B18" s="8">
        <v>486697</v>
      </c>
      <c r="C18" s="9">
        <v>74776</v>
      </c>
      <c r="D18" s="8">
        <v>110446</v>
      </c>
      <c r="E18" s="9">
        <v>58788</v>
      </c>
      <c r="F18" s="8">
        <v>1775</v>
      </c>
      <c r="G18" s="9">
        <v>7288</v>
      </c>
      <c r="H18" s="8">
        <v>21203</v>
      </c>
      <c r="I18" s="9">
        <v>10922</v>
      </c>
      <c r="J18" s="8">
        <v>2559</v>
      </c>
      <c r="K18" s="9">
        <v>774454</v>
      </c>
    </row>
    <row r="19" spans="1:11" x14ac:dyDescent="0.2">
      <c r="A19" s="7" t="s">
        <v>34</v>
      </c>
      <c r="B19" s="8">
        <v>185166</v>
      </c>
      <c r="C19" s="9">
        <v>27471</v>
      </c>
      <c r="D19" s="8">
        <v>439883</v>
      </c>
      <c r="E19" s="9">
        <v>186784</v>
      </c>
      <c r="F19" s="8">
        <v>3575</v>
      </c>
      <c r="G19" s="9">
        <v>858</v>
      </c>
      <c r="H19" s="8">
        <v>19511</v>
      </c>
      <c r="I19" s="9">
        <v>2</v>
      </c>
      <c r="J19" s="8">
        <v>981</v>
      </c>
      <c r="K19" s="9">
        <v>864231</v>
      </c>
    </row>
    <row r="20" spans="1:11" x14ac:dyDescent="0.2">
      <c r="A20" s="7" t="s">
        <v>35</v>
      </c>
      <c r="B20" s="8">
        <v>613580</v>
      </c>
      <c r="C20" s="9">
        <v>31063</v>
      </c>
      <c r="D20" s="8">
        <v>1140014</v>
      </c>
      <c r="E20" s="9">
        <v>911856</v>
      </c>
      <c r="F20" s="8">
        <v>29513</v>
      </c>
      <c r="G20" s="9">
        <v>3714</v>
      </c>
      <c r="H20" s="8">
        <v>191</v>
      </c>
      <c r="I20" s="9">
        <v>102</v>
      </c>
      <c r="J20" s="8">
        <v>1818</v>
      </c>
      <c r="K20" s="9">
        <v>2731851</v>
      </c>
    </row>
    <row r="21" spans="1:11" x14ac:dyDescent="0.2">
      <c r="A21" s="7" t="s">
        <v>36</v>
      </c>
      <c r="B21" s="8">
        <v>0</v>
      </c>
      <c r="C21" s="9">
        <v>43403</v>
      </c>
      <c r="D21" s="8">
        <v>1949096</v>
      </c>
      <c r="E21" s="9">
        <v>436231</v>
      </c>
      <c r="F21" s="8">
        <v>7373</v>
      </c>
      <c r="G21" s="9">
        <v>25142</v>
      </c>
      <c r="H21" s="8">
        <v>1899</v>
      </c>
      <c r="I21" s="9">
        <v>690</v>
      </c>
      <c r="J21" s="8">
        <v>25263</v>
      </c>
      <c r="K21" s="9">
        <v>2489097</v>
      </c>
    </row>
    <row r="22" spans="1:11" x14ac:dyDescent="0.2">
      <c r="A22" s="7" t="s">
        <v>37</v>
      </c>
      <c r="B22" s="8">
        <v>24974</v>
      </c>
      <c r="C22" s="9">
        <v>0</v>
      </c>
      <c r="D22" s="8">
        <v>1435312</v>
      </c>
      <c r="E22" s="9">
        <v>255835</v>
      </c>
      <c r="F22" s="8">
        <v>0</v>
      </c>
      <c r="G22" s="9">
        <v>39632</v>
      </c>
      <c r="H22" s="8">
        <v>35227</v>
      </c>
      <c r="I22" s="9">
        <v>0</v>
      </c>
      <c r="J22" s="8">
        <v>3509</v>
      </c>
      <c r="K22" s="9">
        <v>1794489</v>
      </c>
    </row>
    <row r="23" spans="1:11" x14ac:dyDescent="0.2">
      <c r="A23" s="7" t="s">
        <v>38</v>
      </c>
      <c r="B23" s="8">
        <v>1882871</v>
      </c>
      <c r="C23" s="9">
        <v>0</v>
      </c>
      <c r="D23" s="8">
        <v>0</v>
      </c>
      <c r="E23" s="9">
        <v>362256</v>
      </c>
      <c r="F23" s="8">
        <v>75869</v>
      </c>
      <c r="G23" s="9">
        <v>0</v>
      </c>
      <c r="H23" s="8">
        <v>50101</v>
      </c>
      <c r="I23" s="9">
        <v>3050</v>
      </c>
      <c r="J23" s="8">
        <v>55</v>
      </c>
      <c r="K23" s="9">
        <v>2374202</v>
      </c>
    </row>
    <row r="24" spans="1:11" x14ac:dyDescent="0.2">
      <c r="A24" s="7" t="s">
        <v>39</v>
      </c>
      <c r="B24" s="8">
        <v>57459</v>
      </c>
      <c r="C24" s="9">
        <v>9237</v>
      </c>
      <c r="D24" s="8">
        <v>141877</v>
      </c>
      <c r="E24" s="9">
        <v>28435</v>
      </c>
      <c r="F24" s="8">
        <v>5430</v>
      </c>
      <c r="G24" s="9">
        <v>32</v>
      </c>
      <c r="H24" s="8">
        <v>2078</v>
      </c>
      <c r="I24" s="9">
        <v>1754</v>
      </c>
      <c r="J24" s="8">
        <v>0</v>
      </c>
      <c r="K24" s="9">
        <v>246302</v>
      </c>
    </row>
    <row r="25" spans="1:11" x14ac:dyDescent="0.2">
      <c r="A25" s="7" t="s">
        <v>40</v>
      </c>
      <c r="B25" s="8">
        <v>755686</v>
      </c>
      <c r="C25" s="9">
        <v>0</v>
      </c>
      <c r="D25" s="8">
        <v>0</v>
      </c>
      <c r="E25" s="9">
        <v>76297</v>
      </c>
      <c r="F25" s="8">
        <v>33185</v>
      </c>
      <c r="G25" s="9">
        <v>0</v>
      </c>
      <c r="H25" s="8">
        <v>67454</v>
      </c>
      <c r="I25" s="9">
        <v>8679</v>
      </c>
      <c r="J25" s="8">
        <v>0</v>
      </c>
      <c r="K25" s="9">
        <v>941301</v>
      </c>
    </row>
    <row r="26" spans="1:11" x14ac:dyDescent="0.2">
      <c r="A26" s="7" t="s">
        <v>41</v>
      </c>
      <c r="B26" s="8">
        <v>0</v>
      </c>
      <c r="C26" s="9">
        <v>0</v>
      </c>
      <c r="D26" s="8">
        <v>142354</v>
      </c>
      <c r="E26" s="9">
        <v>54588</v>
      </c>
      <c r="F26" s="8">
        <v>0</v>
      </c>
      <c r="G26" s="9">
        <v>0</v>
      </c>
      <c r="H26" s="8">
        <v>73</v>
      </c>
      <c r="I26" s="9">
        <v>0</v>
      </c>
      <c r="J26" s="8">
        <v>3738</v>
      </c>
      <c r="K26" s="9">
        <v>200753</v>
      </c>
    </row>
    <row r="27" spans="1:11" x14ac:dyDescent="0.2">
      <c r="A27" s="7" t="s">
        <v>42</v>
      </c>
      <c r="B27" s="8">
        <v>293797</v>
      </c>
      <c r="C27" s="9">
        <v>41788</v>
      </c>
      <c r="D27" s="8">
        <v>973484</v>
      </c>
      <c r="E27" s="9">
        <v>170475</v>
      </c>
      <c r="F27" s="8">
        <v>81459</v>
      </c>
      <c r="G27" s="9">
        <v>10572</v>
      </c>
      <c r="H27" s="8">
        <v>14659</v>
      </c>
      <c r="I27" s="9">
        <v>196</v>
      </c>
      <c r="J27" s="8">
        <v>8</v>
      </c>
      <c r="K27" s="9">
        <v>1586438</v>
      </c>
    </row>
    <row r="28" spans="1:11" x14ac:dyDescent="0.2">
      <c r="A28" s="7" t="s">
        <v>43</v>
      </c>
      <c r="B28" s="8">
        <v>342119</v>
      </c>
      <c r="C28" s="9" t="s">
        <v>44</v>
      </c>
      <c r="D28" s="8" t="s">
        <v>44</v>
      </c>
      <c r="E28" s="9">
        <v>353373</v>
      </c>
      <c r="F28" s="8" t="s">
        <v>23</v>
      </c>
      <c r="G28" s="9" t="s">
        <v>23</v>
      </c>
      <c r="H28" s="8">
        <v>94</v>
      </c>
      <c r="I28" s="9" t="s">
        <v>45</v>
      </c>
      <c r="J28" s="8">
        <v>1401</v>
      </c>
      <c r="K28" s="9">
        <v>696987</v>
      </c>
    </row>
    <row r="29" spans="1:11" x14ac:dyDescent="0.2">
      <c r="A29" s="7" t="s">
        <v>46</v>
      </c>
      <c r="B29" s="8">
        <v>600084</v>
      </c>
      <c r="C29" s="9">
        <v>0</v>
      </c>
      <c r="D29" s="8">
        <v>0</v>
      </c>
      <c r="E29" s="9">
        <v>59497</v>
      </c>
      <c r="F29" s="8">
        <v>22396</v>
      </c>
      <c r="G29" s="9">
        <v>0</v>
      </c>
      <c r="H29" s="8">
        <v>27208</v>
      </c>
      <c r="I29" s="9">
        <v>8618</v>
      </c>
      <c r="J29" s="8">
        <v>4</v>
      </c>
      <c r="K29" s="9">
        <v>717807</v>
      </c>
    </row>
    <row r="30" spans="1:11" x14ac:dyDescent="0.2">
      <c r="A30" s="7" t="s">
        <v>47</v>
      </c>
      <c r="B30" s="8">
        <v>424314</v>
      </c>
      <c r="C30" s="9">
        <v>73760</v>
      </c>
      <c r="D30" s="8">
        <v>1084181</v>
      </c>
      <c r="E30" s="9">
        <v>274853</v>
      </c>
      <c r="F30" s="8">
        <v>35592</v>
      </c>
      <c r="G30" s="9">
        <v>570</v>
      </c>
      <c r="H30" s="8">
        <v>24919</v>
      </c>
      <c r="I30" s="9">
        <v>1727</v>
      </c>
      <c r="J30" s="8">
        <v>4307</v>
      </c>
      <c r="K30" s="9">
        <v>1924223</v>
      </c>
    </row>
    <row r="31" spans="1:11" x14ac:dyDescent="0.2">
      <c r="A31" s="7" t="s">
        <v>48</v>
      </c>
      <c r="B31" s="8">
        <v>129358</v>
      </c>
      <c r="C31" s="9">
        <v>139020</v>
      </c>
      <c r="D31" s="8">
        <v>594549</v>
      </c>
      <c r="E31" s="9">
        <v>76439</v>
      </c>
      <c r="F31" s="8">
        <v>1607</v>
      </c>
      <c r="G31" s="9">
        <v>85</v>
      </c>
      <c r="H31" s="8">
        <v>7395</v>
      </c>
      <c r="I31" s="9">
        <v>2246</v>
      </c>
      <c r="J31" s="8">
        <v>11346</v>
      </c>
      <c r="K31" s="9">
        <v>962045</v>
      </c>
    </row>
    <row r="32" spans="1:11" x14ac:dyDescent="0.2">
      <c r="A32" s="7" t="s">
        <v>49</v>
      </c>
      <c r="B32" s="8">
        <v>0</v>
      </c>
      <c r="C32" s="9">
        <v>0</v>
      </c>
      <c r="D32" s="8">
        <v>182087</v>
      </c>
      <c r="E32" s="9">
        <v>70037</v>
      </c>
      <c r="F32" s="8">
        <v>0</v>
      </c>
      <c r="G32" s="9">
        <v>0</v>
      </c>
      <c r="H32" s="8">
        <v>595</v>
      </c>
      <c r="I32" s="9">
        <v>0</v>
      </c>
      <c r="J32" s="8">
        <v>6844</v>
      </c>
      <c r="K32" s="9">
        <v>259563</v>
      </c>
    </row>
    <row r="33" spans="1:11" x14ac:dyDescent="0.2">
      <c r="A33" s="7" t="s">
        <v>50</v>
      </c>
      <c r="B33" s="8">
        <v>117693</v>
      </c>
      <c r="C33" s="9">
        <v>15616</v>
      </c>
      <c r="D33" s="8">
        <v>368141</v>
      </c>
      <c r="E33" s="9">
        <v>81269</v>
      </c>
      <c r="F33" s="8">
        <v>803</v>
      </c>
      <c r="G33" s="9">
        <v>15</v>
      </c>
      <c r="H33" s="8">
        <v>12151</v>
      </c>
      <c r="I33" s="9">
        <v>27</v>
      </c>
      <c r="J33" s="8">
        <v>206</v>
      </c>
      <c r="K33" s="9">
        <v>595921</v>
      </c>
    </row>
    <row r="34" spans="1:11" x14ac:dyDescent="0.2">
      <c r="A34" s="7" t="s">
        <v>51</v>
      </c>
      <c r="B34" s="8">
        <v>494224</v>
      </c>
      <c r="C34" s="9">
        <v>23422</v>
      </c>
      <c r="D34" s="8">
        <v>742860</v>
      </c>
      <c r="E34" s="9">
        <v>131529</v>
      </c>
      <c r="F34" s="8">
        <v>39224</v>
      </c>
      <c r="G34" s="9">
        <v>842</v>
      </c>
      <c r="H34" s="8">
        <v>5716</v>
      </c>
      <c r="I34" s="9">
        <v>5459</v>
      </c>
      <c r="J34" s="8">
        <v>3933</v>
      </c>
      <c r="K34" s="9">
        <v>1447209</v>
      </c>
    </row>
    <row r="35" spans="1:11" x14ac:dyDescent="0.2">
      <c r="A35" s="7" t="s">
        <v>52</v>
      </c>
      <c r="B35" s="8">
        <v>103507</v>
      </c>
      <c r="C35" s="9">
        <v>27854</v>
      </c>
      <c r="D35" s="8">
        <v>396145</v>
      </c>
      <c r="E35" s="9">
        <v>73231</v>
      </c>
      <c r="F35" s="8">
        <v>11428</v>
      </c>
      <c r="G35" s="9">
        <v>82</v>
      </c>
      <c r="H35" s="8">
        <v>3199</v>
      </c>
      <c r="I35" s="9">
        <v>44164</v>
      </c>
      <c r="J35" s="8">
        <v>11286</v>
      </c>
      <c r="K35" s="9">
        <v>670896</v>
      </c>
    </row>
    <row r="36" spans="1:11" x14ac:dyDescent="0.2">
      <c r="A36" s="7" t="s">
        <v>53</v>
      </c>
      <c r="B36" s="8">
        <v>0</v>
      </c>
      <c r="C36" s="9">
        <v>0</v>
      </c>
      <c r="D36" s="8">
        <v>187199</v>
      </c>
      <c r="E36" s="9">
        <v>41063</v>
      </c>
      <c r="F36" s="8">
        <v>0</v>
      </c>
      <c r="G36" s="9">
        <v>0</v>
      </c>
      <c r="H36" s="8">
        <v>1510</v>
      </c>
      <c r="I36" s="9">
        <v>0</v>
      </c>
      <c r="J36" s="8">
        <v>3517</v>
      </c>
      <c r="K36" s="9">
        <v>233289</v>
      </c>
    </row>
    <row r="37" spans="1:11" x14ac:dyDescent="0.2">
      <c r="A37" s="7" t="s">
        <v>54</v>
      </c>
      <c r="B37" s="8">
        <v>0</v>
      </c>
      <c r="C37" s="9">
        <v>1311</v>
      </c>
      <c r="D37" s="8">
        <v>870766</v>
      </c>
      <c r="E37" s="9">
        <v>168191</v>
      </c>
      <c r="F37" s="8">
        <v>35597</v>
      </c>
      <c r="G37" s="9">
        <v>0</v>
      </c>
      <c r="H37" s="8">
        <v>26402</v>
      </c>
      <c r="I37" s="9">
        <v>15592</v>
      </c>
      <c r="J37" s="8">
        <v>4260</v>
      </c>
      <c r="K37" s="9">
        <v>1122119</v>
      </c>
    </row>
    <row r="38" spans="1:11" x14ac:dyDescent="0.2">
      <c r="A38" s="7" t="s">
        <v>55</v>
      </c>
      <c r="B38" s="8">
        <v>402816</v>
      </c>
      <c r="C38" s="9">
        <v>160467</v>
      </c>
      <c r="D38" s="8">
        <v>1476514</v>
      </c>
      <c r="E38" s="9">
        <v>439922</v>
      </c>
      <c r="F38" s="8">
        <v>34312</v>
      </c>
      <c r="G38" s="9">
        <v>718</v>
      </c>
      <c r="H38" s="8">
        <v>19020</v>
      </c>
      <c r="I38" s="9">
        <v>10324</v>
      </c>
      <c r="J38" s="8">
        <v>8669</v>
      </c>
      <c r="K38" s="9">
        <v>2552762</v>
      </c>
    </row>
    <row r="39" spans="1:11" x14ac:dyDescent="0.2">
      <c r="A39" s="7" t="s">
        <v>56</v>
      </c>
      <c r="B39" s="8">
        <v>679768</v>
      </c>
      <c r="C39" s="9">
        <v>121880</v>
      </c>
      <c r="D39" s="8">
        <v>215440</v>
      </c>
      <c r="E39" s="9">
        <v>102256</v>
      </c>
      <c r="F39" s="8">
        <v>1828</v>
      </c>
      <c r="G39" s="9">
        <v>13369</v>
      </c>
      <c r="H39" s="8">
        <v>41904</v>
      </c>
      <c r="I39" s="9">
        <v>29038</v>
      </c>
      <c r="J39" s="8">
        <v>6878</v>
      </c>
      <c r="K39" s="9">
        <v>1212361</v>
      </c>
    </row>
    <row r="40" spans="1:11" x14ac:dyDescent="0.2">
      <c r="A40" s="7" t="s">
        <v>57</v>
      </c>
      <c r="B40" s="8">
        <v>1223469</v>
      </c>
      <c r="C40" s="9">
        <v>284657</v>
      </c>
      <c r="D40" s="8" t="s">
        <v>20</v>
      </c>
      <c r="E40" s="9">
        <v>195137</v>
      </c>
      <c r="F40" s="8">
        <v>4985</v>
      </c>
      <c r="G40" s="9">
        <v>0</v>
      </c>
      <c r="H40" s="8">
        <v>45276</v>
      </c>
      <c r="I40" s="9">
        <v>34114</v>
      </c>
      <c r="J40" s="8">
        <v>10228</v>
      </c>
      <c r="K40" s="9">
        <v>1797866</v>
      </c>
    </row>
    <row r="41" spans="1:11" x14ac:dyDescent="0.2">
      <c r="A41" s="7" t="s">
        <v>58</v>
      </c>
      <c r="B41" s="8">
        <v>0</v>
      </c>
      <c r="C41" s="9">
        <v>11894</v>
      </c>
      <c r="D41" s="8">
        <v>485028</v>
      </c>
      <c r="E41" s="9">
        <v>127947</v>
      </c>
      <c r="F41" s="8">
        <v>21525</v>
      </c>
      <c r="G41" s="9">
        <v>0</v>
      </c>
      <c r="H41" s="8">
        <v>16033</v>
      </c>
      <c r="I41" s="9">
        <v>7642</v>
      </c>
      <c r="J41" s="8">
        <v>0</v>
      </c>
      <c r="K41" s="9">
        <v>670069</v>
      </c>
    </row>
    <row r="42" spans="1:11" x14ac:dyDescent="0.2">
      <c r="A42" s="7" t="s">
        <v>59</v>
      </c>
      <c r="B42" s="8">
        <v>29230</v>
      </c>
      <c r="C42" s="9">
        <v>8530</v>
      </c>
      <c r="D42" s="8">
        <v>91194</v>
      </c>
      <c r="E42" s="9">
        <v>97207</v>
      </c>
      <c r="F42" s="8">
        <v>6518</v>
      </c>
      <c r="G42" s="9">
        <v>0</v>
      </c>
      <c r="H42" s="8">
        <v>1773</v>
      </c>
      <c r="I42" s="9">
        <v>111</v>
      </c>
      <c r="J42" s="8">
        <v>1737</v>
      </c>
      <c r="K42" s="9">
        <v>236300</v>
      </c>
    </row>
    <row r="43" spans="1:11" x14ac:dyDescent="0.2">
      <c r="A43" s="7" t="s">
        <v>60</v>
      </c>
      <c r="B43" s="8">
        <v>2004524</v>
      </c>
      <c r="C43" s="9">
        <v>239062</v>
      </c>
      <c r="D43" s="8" t="s">
        <v>20</v>
      </c>
      <c r="E43" s="9">
        <v>381729</v>
      </c>
      <c r="F43" s="8">
        <v>18326</v>
      </c>
      <c r="G43" s="9">
        <v>0</v>
      </c>
      <c r="H43" s="8">
        <v>19871</v>
      </c>
      <c r="I43" s="9">
        <v>11237</v>
      </c>
      <c r="J43" s="8">
        <v>4920</v>
      </c>
      <c r="K43" s="9">
        <v>2679669</v>
      </c>
    </row>
    <row r="44" spans="1:11" x14ac:dyDescent="0.2">
      <c r="A44" s="7" t="s">
        <v>61</v>
      </c>
      <c r="B44" s="8">
        <v>122135</v>
      </c>
      <c r="C44" s="9">
        <v>252104</v>
      </c>
      <c r="D44" s="8">
        <v>319280</v>
      </c>
      <c r="E44" s="9">
        <v>64779</v>
      </c>
      <c r="F44" s="8">
        <v>1003</v>
      </c>
      <c r="G44" s="9">
        <v>80</v>
      </c>
      <c r="H44" s="8">
        <v>6610</v>
      </c>
      <c r="I44" s="9">
        <v>1531</v>
      </c>
      <c r="J44" s="8">
        <v>7003</v>
      </c>
      <c r="K44" s="9">
        <v>774525</v>
      </c>
    </row>
    <row r="45" spans="1:11" x14ac:dyDescent="0.2">
      <c r="A45" s="7" t="s">
        <v>62</v>
      </c>
      <c r="B45" s="8">
        <v>0</v>
      </c>
      <c r="C45" s="9">
        <v>0</v>
      </c>
      <c r="D45" s="8">
        <v>475045</v>
      </c>
      <c r="E45" s="9">
        <v>238709</v>
      </c>
      <c r="F45" s="8">
        <v>0</v>
      </c>
      <c r="G45" s="9">
        <v>0</v>
      </c>
      <c r="H45" s="8">
        <v>346</v>
      </c>
      <c r="I45" s="9">
        <v>0</v>
      </c>
      <c r="J45" s="8">
        <v>10069</v>
      </c>
      <c r="K45" s="9">
        <v>724169</v>
      </c>
    </row>
    <row r="46" spans="1:11" x14ac:dyDescent="0.2">
      <c r="A46" s="7" t="s">
        <v>63</v>
      </c>
      <c r="B46" s="8">
        <v>125856</v>
      </c>
      <c r="C46" s="9">
        <v>45400</v>
      </c>
      <c r="D46" s="8">
        <v>562755</v>
      </c>
      <c r="E46" s="9">
        <v>59834</v>
      </c>
      <c r="F46" s="8">
        <v>15761</v>
      </c>
      <c r="G46" s="9">
        <v>208</v>
      </c>
      <c r="H46" s="8">
        <v>17308</v>
      </c>
      <c r="I46" s="9">
        <v>9362</v>
      </c>
      <c r="J46" s="8">
        <v>1192</v>
      </c>
      <c r="K46" s="9">
        <v>837676</v>
      </c>
    </row>
    <row r="47" spans="1:11" x14ac:dyDescent="0.2">
      <c r="A47" s="7" t="s">
        <v>64</v>
      </c>
      <c r="B47" s="8">
        <v>1140509</v>
      </c>
      <c r="C47" s="9">
        <v>378594</v>
      </c>
      <c r="D47" s="8" t="s">
        <v>20</v>
      </c>
      <c r="E47" s="9">
        <v>249216</v>
      </c>
      <c r="F47" s="8">
        <v>17812</v>
      </c>
      <c r="G47" s="9">
        <v>0</v>
      </c>
      <c r="H47" s="8">
        <v>35297</v>
      </c>
      <c r="I47" s="9">
        <v>17730</v>
      </c>
      <c r="J47" s="8">
        <v>6400</v>
      </c>
      <c r="K47" s="9">
        <v>1845558</v>
      </c>
    </row>
    <row r="48" spans="1:11" x14ac:dyDescent="0.2">
      <c r="A48" s="10" t="s">
        <v>65</v>
      </c>
      <c r="B48" s="11">
        <v>27691615</v>
      </c>
      <c r="C48" s="12">
        <v>3438247</v>
      </c>
      <c r="D48" s="11">
        <v>21140395</v>
      </c>
      <c r="E48" s="12">
        <v>12889201</v>
      </c>
      <c r="F48" s="11">
        <v>630737</v>
      </c>
      <c r="G48" s="12">
        <v>185613</v>
      </c>
      <c r="H48" s="11">
        <v>720556</v>
      </c>
      <c r="I48" s="12">
        <v>288114</v>
      </c>
      <c r="J48" s="11">
        <v>278165</v>
      </c>
      <c r="K48" s="12">
        <v>67262643</v>
      </c>
    </row>
    <row r="49" spans="1:11" x14ac:dyDescent="0.2">
      <c r="A49" s="10" t="s">
        <v>66</v>
      </c>
      <c r="B49" s="11">
        <v>41.17</v>
      </c>
      <c r="C49" s="12">
        <v>5.1100000000000003</v>
      </c>
      <c r="D49" s="11">
        <v>31.43</v>
      </c>
      <c r="E49" s="12">
        <v>19.16</v>
      </c>
      <c r="F49" s="11">
        <v>0.94</v>
      </c>
      <c r="G49" s="12">
        <v>0.28000000000000003</v>
      </c>
      <c r="H49" s="11">
        <v>1.07</v>
      </c>
      <c r="I49" s="12">
        <v>0.43</v>
      </c>
      <c r="J49" s="11">
        <v>0.41</v>
      </c>
      <c r="K49" s="12" t="s">
        <v>67</v>
      </c>
    </row>
    <row r="51" spans="1:11" x14ac:dyDescent="0.2">
      <c r="A51" s="13" t="s">
        <v>68</v>
      </c>
    </row>
    <row r="52" spans="1:11" x14ac:dyDescent="0.2">
      <c r="A52" s="13" t="s">
        <v>69</v>
      </c>
    </row>
    <row r="53" spans="1:11" x14ac:dyDescent="0.2">
      <c r="A53" s="13" t="s">
        <v>70</v>
      </c>
    </row>
    <row r="54" spans="1:11" x14ac:dyDescent="0.2">
      <c r="A54" s="13" t="s">
        <v>71</v>
      </c>
    </row>
    <row r="55" spans="1:11" x14ac:dyDescent="0.2">
      <c r="A55" s="13" t="s">
        <v>72</v>
      </c>
    </row>
    <row r="56" spans="1:11" ht="25" x14ac:dyDescent="0.2">
      <c r="A56" s="13" t="s">
        <v>73</v>
      </c>
    </row>
    <row r="57" spans="1:11" ht="25" x14ac:dyDescent="0.2">
      <c r="A57" s="13" t="s">
        <v>74</v>
      </c>
    </row>
    <row r="58" spans="1:11" ht="25" x14ac:dyDescent="0.2">
      <c r="A58" s="13" t="s">
        <v>75</v>
      </c>
    </row>
    <row r="59" spans="1:11" ht="25" x14ac:dyDescent="0.2">
      <c r="A59" s="13" t="s">
        <v>76</v>
      </c>
    </row>
    <row r="60" spans="1:11" x14ac:dyDescent="0.2">
      <c r="A60" s="13" t="s">
        <v>77</v>
      </c>
    </row>
  </sheetData>
  <mergeCells count="9">
    <mergeCell ref="A1:K1"/>
    <mergeCell ref="A2:K2"/>
    <mergeCell ref="B3:K3"/>
    <mergeCell ref="B4:D4"/>
    <mergeCell ref="E4:E5"/>
    <mergeCell ref="F4:F5"/>
    <mergeCell ref="H4:H5"/>
    <mergeCell ref="I4:I5"/>
    <mergeCell ref="J4:J5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BA92"/>
  <sheetViews>
    <sheetView tabSelected="1" zoomScale="75" workbookViewId="0">
      <selection activeCell="AP67" sqref="AP67"/>
    </sheetView>
  </sheetViews>
  <sheetFormatPr baseColWidth="10" defaultRowHeight="16" x14ac:dyDescent="0.2"/>
  <cols>
    <col min="1" max="1" width="24.33203125" customWidth="1"/>
    <col min="2" max="16" width="0" hidden="1" customWidth="1"/>
    <col min="17" max="17" width="43.6640625" customWidth="1"/>
    <col min="18" max="18" width="0.1640625" customWidth="1"/>
    <col min="19" max="19" width="18.83203125" customWidth="1"/>
    <col min="20" max="20" width="18" customWidth="1"/>
    <col min="21" max="21" width="15" customWidth="1"/>
    <col min="22" max="22" width="0" hidden="1" customWidth="1"/>
    <col min="24" max="24" width="12.83203125" customWidth="1"/>
    <col min="25" max="25" width="13.5" customWidth="1"/>
    <col min="26" max="26" width="13.33203125" customWidth="1"/>
    <col min="27" max="27" width="20" customWidth="1"/>
    <col min="28" max="28" width="17.33203125" customWidth="1"/>
    <col min="29" max="29" width="18.6640625" customWidth="1"/>
    <col min="30" max="30" width="19.5" customWidth="1"/>
    <col min="31" max="31" width="20.1640625" customWidth="1"/>
    <col min="32" max="32" width="21.33203125" customWidth="1"/>
    <col min="33" max="33" width="21.5" customWidth="1"/>
    <col min="34" max="34" width="21" customWidth="1"/>
    <col min="35" max="35" width="20.83203125" customWidth="1"/>
    <col min="37" max="37" width="32.5" customWidth="1"/>
    <col min="38" max="38" width="32.1640625" customWidth="1"/>
    <col min="39" max="39" width="35.1640625" customWidth="1"/>
    <col min="40" max="40" width="33.1640625" customWidth="1"/>
    <col min="41" max="41" width="31.33203125" customWidth="1"/>
    <col min="42" max="42" width="30.33203125" customWidth="1"/>
    <col min="43" max="43" width="21.83203125" customWidth="1"/>
    <col min="44" max="44" width="22.5" customWidth="1"/>
    <col min="45" max="45" width="20.6640625" customWidth="1"/>
    <col min="46" max="46" width="20" customWidth="1"/>
    <col min="47" max="47" width="21" customWidth="1"/>
    <col min="48" max="48" width="19.1640625" customWidth="1"/>
    <col min="49" max="49" width="21.33203125" customWidth="1"/>
    <col min="50" max="50" width="20.6640625" customWidth="1"/>
    <col min="51" max="51" width="20" customWidth="1"/>
    <col min="52" max="52" width="20.5" customWidth="1"/>
    <col min="53" max="53" width="22.1640625" customWidth="1"/>
    <col min="54" max="54" width="32.83203125" customWidth="1"/>
    <col min="55" max="55" width="32.33203125" customWidth="1"/>
    <col min="56" max="56" width="34.1640625" customWidth="1"/>
    <col min="57" max="60" width="32.6640625" customWidth="1"/>
  </cols>
  <sheetData>
    <row r="1" spans="1:21" x14ac:dyDescent="0.2">
      <c r="A1" s="81" t="s">
        <v>78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3"/>
    </row>
    <row r="2" spans="1:21" x14ac:dyDescent="0.2">
      <c r="A2" s="97" t="s">
        <v>1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6"/>
    </row>
    <row r="3" spans="1:21" ht="19" customHeight="1" x14ac:dyDescent="0.25">
      <c r="A3" s="33" t="s">
        <v>117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30" t="s">
        <v>122</v>
      </c>
      <c r="R3" s="31"/>
      <c r="S3" s="20" t="s">
        <v>112</v>
      </c>
      <c r="T3" s="20" t="s">
        <v>113</v>
      </c>
      <c r="U3" s="17" t="s">
        <v>116</v>
      </c>
    </row>
    <row r="4" spans="1:21" hidden="1" x14ac:dyDescent="0.2">
      <c r="A4" s="32" t="s">
        <v>79</v>
      </c>
      <c r="B4" s="11">
        <v>2001</v>
      </c>
      <c r="C4" s="12">
        <v>2002</v>
      </c>
      <c r="D4" s="11">
        <v>2003</v>
      </c>
      <c r="E4" s="12">
        <v>2004</v>
      </c>
      <c r="F4" s="11">
        <v>2005</v>
      </c>
      <c r="G4" s="12">
        <v>2006</v>
      </c>
      <c r="H4" s="11">
        <v>2007</v>
      </c>
      <c r="I4" s="12">
        <v>2008</v>
      </c>
      <c r="J4" s="11">
        <v>2009</v>
      </c>
      <c r="K4" s="12">
        <v>2010</v>
      </c>
      <c r="L4" s="11">
        <v>2011</v>
      </c>
      <c r="M4" s="12">
        <v>2012</v>
      </c>
      <c r="N4" s="11">
        <v>2013</v>
      </c>
      <c r="O4" s="12">
        <v>2014</v>
      </c>
      <c r="P4" s="11">
        <v>2015</v>
      </c>
      <c r="Q4" s="12">
        <v>2016</v>
      </c>
      <c r="R4" s="11">
        <v>2017</v>
      </c>
      <c r="U4" s="18">
        <v>424.92424242424244</v>
      </c>
    </row>
    <row r="5" spans="1:21" hidden="1" x14ac:dyDescent="0.2">
      <c r="A5" s="23" t="s">
        <v>18</v>
      </c>
      <c r="B5" s="8" t="s">
        <v>67</v>
      </c>
      <c r="C5" s="9" t="s">
        <v>67</v>
      </c>
      <c r="D5" s="8" t="s">
        <v>67</v>
      </c>
      <c r="E5" s="9" t="s">
        <v>67</v>
      </c>
      <c r="F5" s="8" t="s">
        <v>67</v>
      </c>
      <c r="G5" s="9" t="s">
        <v>67</v>
      </c>
      <c r="H5" s="8" t="s">
        <v>67</v>
      </c>
      <c r="I5" s="9" t="s">
        <v>67</v>
      </c>
      <c r="J5" s="8" t="s">
        <v>67</v>
      </c>
      <c r="K5" s="9">
        <v>580</v>
      </c>
      <c r="L5" s="8">
        <v>640</v>
      </c>
      <c r="M5" s="9">
        <v>704</v>
      </c>
      <c r="N5" s="8">
        <v>752</v>
      </c>
      <c r="O5" s="9">
        <v>825</v>
      </c>
      <c r="P5" s="8">
        <v>905</v>
      </c>
      <c r="Q5" s="24">
        <v>923</v>
      </c>
      <c r="R5" s="25">
        <v>962</v>
      </c>
      <c r="U5" s="18">
        <v>87.559414990859239</v>
      </c>
    </row>
    <row r="6" spans="1:21" ht="19" x14ac:dyDescent="0.25">
      <c r="A6" s="34" t="s">
        <v>19</v>
      </c>
      <c r="B6" s="22">
        <v>846</v>
      </c>
      <c r="C6" s="9">
        <v>899</v>
      </c>
      <c r="D6" s="8">
        <v>978</v>
      </c>
      <c r="E6" s="9">
        <v>1075</v>
      </c>
      <c r="F6" s="8">
        <v>1632</v>
      </c>
      <c r="G6" s="9">
        <v>1780</v>
      </c>
      <c r="H6" s="8">
        <v>1451</v>
      </c>
      <c r="I6" s="9">
        <v>1586</v>
      </c>
      <c r="J6" s="8">
        <v>1691</v>
      </c>
      <c r="K6" s="9" t="s">
        <v>67</v>
      </c>
      <c r="L6" s="8" t="s">
        <v>67</v>
      </c>
      <c r="M6" s="9">
        <v>1682</v>
      </c>
      <c r="N6" s="8">
        <v>1796</v>
      </c>
      <c r="O6" s="9">
        <v>3196</v>
      </c>
      <c r="P6" s="21">
        <v>3420</v>
      </c>
      <c r="Q6" s="35">
        <v>3905</v>
      </c>
      <c r="R6" s="35"/>
      <c r="S6" s="36">
        <v>464</v>
      </c>
      <c r="T6" s="36">
        <f>Q6/S6</f>
        <v>8.4159482758620694</v>
      </c>
      <c r="U6" s="37">
        <f>V71</f>
        <v>424.92424242424198</v>
      </c>
    </row>
    <row r="7" spans="1:21" hidden="1" x14ac:dyDescent="0.2">
      <c r="A7" s="26" t="s">
        <v>21</v>
      </c>
      <c r="B7" s="8" t="s">
        <v>67</v>
      </c>
      <c r="C7" s="9" t="s">
        <v>67</v>
      </c>
      <c r="D7" s="8" t="s">
        <v>67</v>
      </c>
      <c r="E7" s="9" t="s">
        <v>67</v>
      </c>
      <c r="F7" s="8" t="s">
        <v>67</v>
      </c>
      <c r="G7" s="9" t="s">
        <v>67</v>
      </c>
      <c r="H7" s="8" t="s">
        <v>67</v>
      </c>
      <c r="I7" s="9" t="s">
        <v>67</v>
      </c>
      <c r="J7" s="8" t="s">
        <v>67</v>
      </c>
      <c r="K7" s="9">
        <v>533</v>
      </c>
      <c r="L7" s="8">
        <v>683</v>
      </c>
      <c r="M7" s="9">
        <v>738</v>
      </c>
      <c r="N7" s="8">
        <v>747</v>
      </c>
      <c r="O7" s="9">
        <v>817</v>
      </c>
      <c r="P7" s="8">
        <v>897</v>
      </c>
      <c r="Q7" s="27">
        <v>1023</v>
      </c>
      <c r="U7" s="18">
        <v>213.67155963302753</v>
      </c>
    </row>
    <row r="8" spans="1:21" hidden="1" x14ac:dyDescent="0.2">
      <c r="A8" s="7" t="s">
        <v>22</v>
      </c>
      <c r="B8" s="8" t="s">
        <v>67</v>
      </c>
      <c r="C8" s="9" t="s">
        <v>67</v>
      </c>
      <c r="D8" s="8" t="s">
        <v>67</v>
      </c>
      <c r="E8" s="9" t="s">
        <v>67</v>
      </c>
      <c r="F8" s="8" t="s">
        <v>67</v>
      </c>
      <c r="G8" s="9" t="s">
        <v>67</v>
      </c>
      <c r="H8" s="8" t="s">
        <v>67</v>
      </c>
      <c r="I8" s="9" t="s">
        <v>67</v>
      </c>
      <c r="J8" s="8" t="s">
        <v>67</v>
      </c>
      <c r="K8" s="9" t="s">
        <v>67</v>
      </c>
      <c r="L8" s="8" t="s">
        <v>67</v>
      </c>
      <c r="M8" s="9" t="s">
        <v>67</v>
      </c>
      <c r="N8" s="8" t="s">
        <v>67</v>
      </c>
      <c r="O8" s="9" t="s">
        <v>67</v>
      </c>
      <c r="P8" s="8" t="s">
        <v>67</v>
      </c>
      <c r="Q8" s="8">
        <v>210</v>
      </c>
      <c r="U8" s="18">
        <v>181.15285451197099</v>
      </c>
    </row>
    <row r="9" spans="1:21" hidden="1" x14ac:dyDescent="0.2">
      <c r="A9" s="7" t="s">
        <v>80</v>
      </c>
      <c r="B9" s="8" t="s">
        <v>67</v>
      </c>
      <c r="C9" s="9" t="s">
        <v>67</v>
      </c>
      <c r="D9" s="8" t="s">
        <v>67</v>
      </c>
      <c r="E9" s="9" t="s">
        <v>67</v>
      </c>
      <c r="F9" s="8" t="s">
        <v>67</v>
      </c>
      <c r="G9" s="9" t="s">
        <v>67</v>
      </c>
      <c r="H9" s="8" t="s">
        <v>67</v>
      </c>
      <c r="I9" s="9" t="s">
        <v>67</v>
      </c>
      <c r="J9" s="8" t="s">
        <v>67</v>
      </c>
      <c r="K9" s="9">
        <v>233</v>
      </c>
      <c r="L9" s="8">
        <v>253</v>
      </c>
      <c r="M9" s="9">
        <v>803</v>
      </c>
      <c r="N9" s="8" t="s">
        <v>67</v>
      </c>
      <c r="O9" s="9" t="s">
        <v>67</v>
      </c>
      <c r="P9" s="8" t="s">
        <v>67</v>
      </c>
      <c r="Q9" s="8" t="s">
        <v>67</v>
      </c>
      <c r="U9" s="18">
        <v>140.51224489795919</v>
      </c>
    </row>
    <row r="10" spans="1:21" hidden="1" x14ac:dyDescent="0.2">
      <c r="A10" s="23" t="s">
        <v>25</v>
      </c>
      <c r="B10" s="8" t="s">
        <v>67</v>
      </c>
      <c r="C10" s="9" t="s">
        <v>67</v>
      </c>
      <c r="D10" s="8" t="s">
        <v>67</v>
      </c>
      <c r="E10" s="9" t="s">
        <v>67</v>
      </c>
      <c r="F10" s="8" t="s">
        <v>67</v>
      </c>
      <c r="G10" s="9" t="s">
        <v>67</v>
      </c>
      <c r="H10" s="8" t="s">
        <v>67</v>
      </c>
      <c r="I10" s="9" t="s">
        <v>67</v>
      </c>
      <c r="J10" s="8" t="s">
        <v>67</v>
      </c>
      <c r="K10" s="9">
        <v>233</v>
      </c>
      <c r="L10" s="8">
        <v>253</v>
      </c>
      <c r="M10" s="9">
        <v>281</v>
      </c>
      <c r="N10" s="8">
        <v>310</v>
      </c>
      <c r="O10" s="9">
        <v>362</v>
      </c>
      <c r="P10" s="8">
        <v>426</v>
      </c>
      <c r="Q10" s="25">
        <v>515</v>
      </c>
      <c r="U10" s="18">
        <v>88.125461254612546</v>
      </c>
    </row>
    <row r="11" spans="1:21" ht="19" x14ac:dyDescent="0.25">
      <c r="A11" s="34" t="s">
        <v>26</v>
      </c>
      <c r="B11" s="22">
        <v>1593</v>
      </c>
      <c r="C11" s="9">
        <v>1680</v>
      </c>
      <c r="D11" s="8">
        <v>1771</v>
      </c>
      <c r="E11" s="9">
        <v>1891</v>
      </c>
      <c r="F11" s="8">
        <v>2232</v>
      </c>
      <c r="G11" s="9">
        <v>2617</v>
      </c>
      <c r="H11" s="8">
        <v>2179</v>
      </c>
      <c r="I11" s="9">
        <v>2640</v>
      </c>
      <c r="J11" s="8">
        <v>3016</v>
      </c>
      <c r="K11" s="9">
        <v>3491</v>
      </c>
      <c r="L11" s="8">
        <v>3791</v>
      </c>
      <c r="M11" s="9">
        <v>4146</v>
      </c>
      <c r="N11" s="8">
        <v>4591</v>
      </c>
      <c r="O11" s="9">
        <v>5050</v>
      </c>
      <c r="P11" s="21">
        <v>5560</v>
      </c>
      <c r="Q11" s="35">
        <v>6833</v>
      </c>
      <c r="R11" s="35"/>
      <c r="S11" s="36">
        <v>709</v>
      </c>
      <c r="T11" s="36">
        <f>Q11/S11</f>
        <v>9.6375176304654442</v>
      </c>
      <c r="U11" s="37">
        <f>V72</f>
        <v>87.559414990859239</v>
      </c>
    </row>
    <row r="12" spans="1:21" ht="19" hidden="1" customHeight="1" x14ac:dyDescent="0.2">
      <c r="A12" s="26" t="s">
        <v>27</v>
      </c>
      <c r="B12" s="8">
        <v>309</v>
      </c>
      <c r="C12" s="9">
        <v>333</v>
      </c>
      <c r="D12" s="8">
        <v>361</v>
      </c>
      <c r="E12" s="9">
        <v>392</v>
      </c>
      <c r="F12" s="8">
        <v>428</v>
      </c>
      <c r="G12" s="9">
        <v>476</v>
      </c>
      <c r="H12" s="8">
        <v>524</v>
      </c>
      <c r="I12" s="9">
        <v>571</v>
      </c>
      <c r="J12" s="8">
        <v>617</v>
      </c>
      <c r="K12" s="9">
        <v>674</v>
      </c>
      <c r="L12" s="8">
        <v>755</v>
      </c>
      <c r="M12" s="9">
        <v>829</v>
      </c>
      <c r="N12" s="8">
        <v>877</v>
      </c>
      <c r="O12" s="9">
        <v>933</v>
      </c>
      <c r="P12" s="8">
        <v>1080</v>
      </c>
      <c r="Q12" s="27">
        <v>1256</v>
      </c>
      <c r="U12" s="18">
        <v>147.43107221006565</v>
      </c>
    </row>
    <row r="13" spans="1:21" ht="19" hidden="1" customHeight="1" x14ac:dyDescent="0.2">
      <c r="A13" s="23" t="s">
        <v>28</v>
      </c>
      <c r="B13" s="8" t="s">
        <v>67</v>
      </c>
      <c r="C13" s="9" t="s">
        <v>67</v>
      </c>
      <c r="D13" s="8" t="s">
        <v>67</v>
      </c>
      <c r="E13" s="9" t="s">
        <v>67</v>
      </c>
      <c r="F13" s="8" t="s">
        <v>67</v>
      </c>
      <c r="G13" s="9" t="s">
        <v>67</v>
      </c>
      <c r="H13" s="8" t="s">
        <v>67</v>
      </c>
      <c r="I13" s="9" t="s">
        <v>67</v>
      </c>
      <c r="J13" s="8" t="s">
        <v>67</v>
      </c>
      <c r="K13" s="9" t="s">
        <v>67</v>
      </c>
      <c r="L13" s="8" t="s">
        <v>67</v>
      </c>
      <c r="M13" s="9">
        <v>1058</v>
      </c>
      <c r="N13" s="8">
        <v>1106</v>
      </c>
      <c r="O13" s="9">
        <v>631</v>
      </c>
      <c r="P13" s="8">
        <v>746</v>
      </c>
      <c r="Q13" s="25">
        <v>883</v>
      </c>
      <c r="U13" s="18">
        <v>131.21335807050093</v>
      </c>
    </row>
    <row r="14" spans="1:21" ht="19" x14ac:dyDescent="0.25">
      <c r="A14" s="34" t="s">
        <v>29</v>
      </c>
      <c r="B14" s="22">
        <v>1257</v>
      </c>
      <c r="C14" s="9">
        <v>1356</v>
      </c>
      <c r="D14" s="8">
        <v>1895</v>
      </c>
      <c r="E14" s="9">
        <v>2015</v>
      </c>
      <c r="F14" s="8">
        <v>2167</v>
      </c>
      <c r="G14" s="9">
        <v>2338</v>
      </c>
      <c r="H14" s="8">
        <v>2518</v>
      </c>
      <c r="I14" s="9">
        <v>2701</v>
      </c>
      <c r="J14" s="8">
        <v>2919</v>
      </c>
      <c r="K14" s="9">
        <v>3149</v>
      </c>
      <c r="L14" s="8">
        <v>3456</v>
      </c>
      <c r="M14" s="9">
        <v>3767</v>
      </c>
      <c r="N14" s="8">
        <v>4072</v>
      </c>
      <c r="O14" s="9">
        <v>4354</v>
      </c>
      <c r="P14" s="21">
        <v>4934</v>
      </c>
      <c r="Q14" s="35">
        <v>5299</v>
      </c>
      <c r="R14" s="35"/>
      <c r="S14" s="36">
        <v>426</v>
      </c>
      <c r="T14" s="36">
        <f>Q14/S14</f>
        <v>12.438967136150234</v>
      </c>
      <c r="U14" s="37">
        <f>V73</f>
        <v>95.036630036630044</v>
      </c>
    </row>
    <row r="15" spans="1:21" ht="19" hidden="1" customHeight="1" x14ac:dyDescent="0.2">
      <c r="A15" s="28" t="s">
        <v>30</v>
      </c>
      <c r="B15" s="8">
        <v>409</v>
      </c>
      <c r="C15" s="9">
        <v>448</v>
      </c>
      <c r="D15" s="8">
        <v>578</v>
      </c>
      <c r="E15" s="9">
        <v>630</v>
      </c>
      <c r="F15" s="8">
        <v>682</v>
      </c>
      <c r="G15" s="9">
        <v>750</v>
      </c>
      <c r="H15" s="8">
        <v>827</v>
      </c>
      <c r="I15" s="9">
        <v>910</v>
      </c>
      <c r="J15" s="8">
        <v>1002</v>
      </c>
      <c r="K15" s="9">
        <v>1110</v>
      </c>
      <c r="L15" s="8">
        <v>1241</v>
      </c>
      <c r="M15" s="9">
        <v>1386</v>
      </c>
      <c r="N15" s="8">
        <v>1528</v>
      </c>
      <c r="O15" s="9">
        <v>1649</v>
      </c>
      <c r="P15" s="8">
        <v>1901</v>
      </c>
      <c r="Q15" s="29">
        <v>2059</v>
      </c>
      <c r="U15" s="18">
        <v>104.86778398510242</v>
      </c>
    </row>
    <row r="16" spans="1:21" ht="19" x14ac:dyDescent="0.25">
      <c r="A16" s="34" t="s">
        <v>31</v>
      </c>
      <c r="B16" s="22">
        <v>3635</v>
      </c>
      <c r="C16" s="9">
        <v>3699</v>
      </c>
      <c r="D16" s="8">
        <v>3971</v>
      </c>
      <c r="E16" s="9">
        <v>4237</v>
      </c>
      <c r="F16" s="8">
        <v>4186</v>
      </c>
      <c r="G16" s="9">
        <v>4487</v>
      </c>
      <c r="H16" s="8">
        <v>5492</v>
      </c>
      <c r="I16" s="9">
        <v>5899</v>
      </c>
      <c r="J16" s="8">
        <v>6302</v>
      </c>
      <c r="K16" s="9">
        <v>6747</v>
      </c>
      <c r="L16" s="8">
        <v>7228</v>
      </c>
      <c r="M16" s="9">
        <v>7350</v>
      </c>
      <c r="N16" s="8">
        <v>7785</v>
      </c>
      <c r="O16" s="9">
        <v>8293</v>
      </c>
      <c r="P16" s="21">
        <v>8851</v>
      </c>
      <c r="Q16" s="35">
        <v>10260</v>
      </c>
      <c r="R16" s="35"/>
      <c r="S16" s="36">
        <v>1484</v>
      </c>
      <c r="T16" s="36">
        <f>Q16/S16</f>
        <v>6.9137466307277631</v>
      </c>
      <c r="U16" s="37">
        <f>V74</f>
        <v>213.67155963302753</v>
      </c>
    </row>
    <row r="17" spans="1:32" ht="19" hidden="1" customHeight="1" x14ac:dyDescent="0.2">
      <c r="A17" s="26" t="s">
        <v>32</v>
      </c>
      <c r="B17" s="8" t="s">
        <v>67</v>
      </c>
      <c r="C17" s="9" t="s">
        <v>67</v>
      </c>
      <c r="D17" s="8" t="s">
        <v>67</v>
      </c>
      <c r="E17" s="9" t="s">
        <v>67</v>
      </c>
      <c r="F17" s="8" t="s">
        <v>67</v>
      </c>
      <c r="G17" s="9" t="s">
        <v>67</v>
      </c>
      <c r="H17" s="8" t="s">
        <v>67</v>
      </c>
      <c r="I17" s="9" t="s">
        <v>67</v>
      </c>
      <c r="J17" s="8" t="s">
        <v>67</v>
      </c>
      <c r="K17" s="9">
        <v>31</v>
      </c>
      <c r="L17" s="8">
        <v>41</v>
      </c>
      <c r="M17" s="9">
        <v>462</v>
      </c>
      <c r="N17" s="8">
        <v>490</v>
      </c>
      <c r="O17" s="9">
        <v>521</v>
      </c>
      <c r="P17" s="8">
        <v>563</v>
      </c>
      <c r="Q17" s="27">
        <v>651</v>
      </c>
      <c r="U17" s="18">
        <v>71.568138195777351</v>
      </c>
    </row>
    <row r="18" spans="1:32" ht="19" hidden="1" customHeight="1" x14ac:dyDescent="0.2">
      <c r="A18" s="7" t="s">
        <v>81</v>
      </c>
      <c r="B18" s="8" t="s">
        <v>67</v>
      </c>
      <c r="C18" s="9" t="s">
        <v>67</v>
      </c>
      <c r="D18" s="8" t="s">
        <v>67</v>
      </c>
      <c r="E18" s="9" t="s">
        <v>67</v>
      </c>
      <c r="F18" s="8" t="s">
        <v>67</v>
      </c>
      <c r="G18" s="9" t="s">
        <v>67</v>
      </c>
      <c r="H18" s="8" t="s">
        <v>67</v>
      </c>
      <c r="I18" s="9" t="s">
        <v>67</v>
      </c>
      <c r="J18" s="8" t="s">
        <v>67</v>
      </c>
      <c r="K18" s="9" t="s">
        <v>67</v>
      </c>
      <c r="L18" s="8" t="s">
        <v>67</v>
      </c>
      <c r="M18" s="9">
        <v>445</v>
      </c>
      <c r="N18" s="8">
        <v>490</v>
      </c>
      <c r="O18" s="9">
        <v>721</v>
      </c>
      <c r="P18" s="8">
        <v>769</v>
      </c>
      <c r="Q18" s="8">
        <v>815</v>
      </c>
      <c r="U18" s="18">
        <v>104.81188118811882</v>
      </c>
    </row>
    <row r="19" spans="1:32" ht="16" hidden="1" customHeight="1" x14ac:dyDescent="0.2">
      <c r="A19" s="7" t="s">
        <v>34</v>
      </c>
      <c r="B19" s="8" t="s">
        <v>67</v>
      </c>
      <c r="C19" s="9" t="s">
        <v>67</v>
      </c>
      <c r="D19" s="8" t="s">
        <v>67</v>
      </c>
      <c r="E19" s="9" t="s">
        <v>67</v>
      </c>
      <c r="F19" s="8" t="s">
        <v>67</v>
      </c>
      <c r="G19" s="9" t="s">
        <v>67</v>
      </c>
      <c r="H19" s="8" t="s">
        <v>67</v>
      </c>
      <c r="I19" s="9" t="s">
        <v>67</v>
      </c>
      <c r="J19" s="8" t="s">
        <v>67</v>
      </c>
      <c r="K19" s="9">
        <v>409</v>
      </c>
      <c r="L19" s="8">
        <v>470</v>
      </c>
      <c r="M19" s="9">
        <v>525</v>
      </c>
      <c r="N19" s="8">
        <v>628</v>
      </c>
      <c r="O19" s="9">
        <v>685</v>
      </c>
      <c r="P19" s="8">
        <v>752</v>
      </c>
      <c r="Q19" s="8">
        <v>918</v>
      </c>
      <c r="U19" s="18">
        <v>71.568138195777351</v>
      </c>
    </row>
    <row r="20" spans="1:32" ht="16" hidden="1" customHeight="1" x14ac:dyDescent="0.2">
      <c r="A20" s="7" t="s">
        <v>82</v>
      </c>
      <c r="B20" s="8" t="s">
        <v>67</v>
      </c>
      <c r="C20" s="9">
        <v>1069</v>
      </c>
      <c r="D20" s="8">
        <v>1124</v>
      </c>
      <c r="E20" s="9">
        <v>1199</v>
      </c>
      <c r="F20" s="8">
        <v>1295</v>
      </c>
      <c r="G20" s="9">
        <v>1394</v>
      </c>
      <c r="H20" s="8">
        <v>1503</v>
      </c>
      <c r="I20" s="9">
        <v>1605</v>
      </c>
      <c r="J20" s="8">
        <v>1674</v>
      </c>
      <c r="K20" s="9">
        <v>1768</v>
      </c>
      <c r="L20" s="8">
        <v>1870</v>
      </c>
      <c r="M20" s="9">
        <v>2029</v>
      </c>
      <c r="N20" s="8">
        <v>2187</v>
      </c>
      <c r="O20" s="9">
        <v>2333</v>
      </c>
      <c r="P20" s="8">
        <v>2571</v>
      </c>
      <c r="Q20" s="8">
        <v>3053</v>
      </c>
      <c r="U20" s="18">
        <v>104.81188118811882</v>
      </c>
    </row>
    <row r="21" spans="1:32" ht="16" hidden="1" customHeight="1" x14ac:dyDescent="0.2">
      <c r="A21" s="23" t="s">
        <v>83</v>
      </c>
      <c r="B21" s="8" t="s">
        <v>67</v>
      </c>
      <c r="C21" s="9" t="s">
        <v>67</v>
      </c>
      <c r="D21" s="8" t="s">
        <v>67</v>
      </c>
      <c r="E21" s="9" t="s">
        <v>67</v>
      </c>
      <c r="F21" s="8" t="s">
        <v>67</v>
      </c>
      <c r="G21" s="9" t="s">
        <v>67</v>
      </c>
      <c r="H21" s="8" t="s">
        <v>67</v>
      </c>
      <c r="I21" s="9" t="s">
        <v>67</v>
      </c>
      <c r="J21" s="8" t="s">
        <v>67</v>
      </c>
      <c r="K21" s="9">
        <v>412</v>
      </c>
      <c r="L21" s="8">
        <v>449</v>
      </c>
      <c r="M21" s="9">
        <v>490</v>
      </c>
      <c r="N21" s="8">
        <v>530</v>
      </c>
      <c r="O21" s="9">
        <v>573</v>
      </c>
      <c r="P21" s="8">
        <v>618</v>
      </c>
      <c r="Q21" s="25" t="s">
        <v>67</v>
      </c>
    </row>
    <row r="22" spans="1:32" ht="19" x14ac:dyDescent="0.25">
      <c r="A22" s="34" t="s">
        <v>36</v>
      </c>
      <c r="B22" s="22" t="s">
        <v>84</v>
      </c>
      <c r="C22" s="9">
        <v>1241</v>
      </c>
      <c r="D22" s="8">
        <v>1319</v>
      </c>
      <c r="E22" s="9">
        <v>1356</v>
      </c>
      <c r="F22" s="8">
        <v>1433</v>
      </c>
      <c r="G22" s="9">
        <v>1522</v>
      </c>
      <c r="H22" s="8">
        <v>2181</v>
      </c>
      <c r="I22" s="9">
        <v>2444</v>
      </c>
      <c r="J22" s="8">
        <v>2682</v>
      </c>
      <c r="K22" s="9">
        <v>2728</v>
      </c>
      <c r="L22" s="8">
        <v>3033</v>
      </c>
      <c r="M22" s="9">
        <v>3387</v>
      </c>
      <c r="N22" s="8">
        <v>2040</v>
      </c>
      <c r="O22" s="9">
        <v>2203</v>
      </c>
      <c r="P22" s="21">
        <v>2369</v>
      </c>
      <c r="Q22" s="35">
        <v>2715</v>
      </c>
      <c r="R22" s="35"/>
      <c r="S22" s="36">
        <v>625</v>
      </c>
      <c r="T22" s="36">
        <f>Q22/S22</f>
        <v>4.3440000000000003</v>
      </c>
      <c r="U22" s="37">
        <f>V75</f>
        <v>181.15285451197099</v>
      </c>
    </row>
    <row r="23" spans="1:32" ht="16" hidden="1" customHeight="1" x14ac:dyDescent="0.2">
      <c r="A23" s="26" t="s">
        <v>37</v>
      </c>
      <c r="B23" s="8">
        <v>517</v>
      </c>
      <c r="C23" s="9">
        <v>550</v>
      </c>
      <c r="D23" s="8">
        <v>592</v>
      </c>
      <c r="E23" s="9">
        <v>645</v>
      </c>
      <c r="F23" s="8">
        <v>705</v>
      </c>
      <c r="G23" s="9">
        <v>771</v>
      </c>
      <c r="H23" s="8">
        <v>844</v>
      </c>
      <c r="I23" s="9">
        <v>929</v>
      </c>
      <c r="J23" s="8">
        <v>1007</v>
      </c>
      <c r="K23" s="9">
        <v>1098</v>
      </c>
      <c r="L23" s="8">
        <v>1213</v>
      </c>
      <c r="M23" s="9">
        <v>1338</v>
      </c>
      <c r="N23" s="8">
        <v>1491</v>
      </c>
      <c r="O23" s="9">
        <v>1568</v>
      </c>
      <c r="P23" s="8">
        <v>1713</v>
      </c>
      <c r="Q23" s="27">
        <v>1935</v>
      </c>
      <c r="U23" s="18">
        <v>88.125461254612546</v>
      </c>
    </row>
    <row r="24" spans="1:32" ht="19" hidden="1" customHeight="1" x14ac:dyDescent="0.2">
      <c r="A24" s="23" t="s">
        <v>85</v>
      </c>
      <c r="B24" s="8" t="s">
        <v>67</v>
      </c>
      <c r="C24" s="9" t="s">
        <v>67</v>
      </c>
      <c r="D24" s="8" t="s">
        <v>67</v>
      </c>
      <c r="E24" s="9" t="s">
        <v>67</v>
      </c>
      <c r="F24" s="8" t="s">
        <v>67</v>
      </c>
      <c r="G24" s="9" t="s">
        <v>67</v>
      </c>
      <c r="H24" s="8" t="s">
        <v>67</v>
      </c>
      <c r="I24" s="9" t="s">
        <v>67</v>
      </c>
      <c r="J24" s="8" t="s">
        <v>67</v>
      </c>
      <c r="K24" s="9">
        <v>516</v>
      </c>
      <c r="L24" s="8">
        <v>559</v>
      </c>
      <c r="M24" s="9">
        <v>605</v>
      </c>
      <c r="N24" s="8">
        <v>646</v>
      </c>
      <c r="O24" s="9">
        <v>585</v>
      </c>
      <c r="P24" s="8">
        <v>638</v>
      </c>
      <c r="Q24" s="25" t="s">
        <v>67</v>
      </c>
      <c r="U24" s="18">
        <v>114.2920517560074</v>
      </c>
    </row>
    <row r="25" spans="1:32" ht="19" x14ac:dyDescent="0.25">
      <c r="A25" s="38" t="s">
        <v>109</v>
      </c>
      <c r="Q25" s="35">
        <v>18282</v>
      </c>
      <c r="R25" s="35"/>
      <c r="S25" s="36">
        <v>732</v>
      </c>
      <c r="T25" s="35">
        <f t="shared" ref="T25:T27" si="0">Q25/S25</f>
        <v>24.975409836065573</v>
      </c>
      <c r="U25" s="37">
        <f>V76</f>
        <v>140.51224489795919</v>
      </c>
      <c r="Z25" s="19"/>
      <c r="AA25" s="19"/>
      <c r="AB25" s="19"/>
      <c r="AC25" s="19"/>
      <c r="AD25" s="19"/>
      <c r="AE25" s="19"/>
      <c r="AF25" s="19"/>
    </row>
    <row r="26" spans="1:32" ht="19" x14ac:dyDescent="0.25">
      <c r="A26" s="39" t="s">
        <v>110</v>
      </c>
      <c r="Q26" s="35">
        <v>21267</v>
      </c>
      <c r="R26" s="35"/>
      <c r="S26" s="36">
        <v>262</v>
      </c>
      <c r="T26" s="36">
        <f t="shared" si="0"/>
        <v>81.171755725190835</v>
      </c>
      <c r="U26" s="37">
        <f>V77</f>
        <v>88.125461254612546</v>
      </c>
      <c r="Z26" s="19"/>
      <c r="AA26" s="19"/>
      <c r="AB26" s="63" t="s">
        <v>129</v>
      </c>
      <c r="AC26" s="64" t="s">
        <v>130</v>
      </c>
      <c r="AD26" s="65" t="s">
        <v>131</v>
      </c>
      <c r="AE26" s="66" t="s">
        <v>157</v>
      </c>
      <c r="AF26" s="66" t="s">
        <v>158</v>
      </c>
    </row>
    <row r="27" spans="1:32" ht="19" x14ac:dyDescent="0.25">
      <c r="A27" s="39" t="s">
        <v>38</v>
      </c>
      <c r="B27" s="22" t="s">
        <v>86</v>
      </c>
      <c r="C27" s="9">
        <v>693</v>
      </c>
      <c r="D27" s="8">
        <v>753</v>
      </c>
      <c r="E27" s="9">
        <v>824</v>
      </c>
      <c r="F27" s="8">
        <v>923</v>
      </c>
      <c r="G27" s="9">
        <v>1051</v>
      </c>
      <c r="H27" s="8">
        <v>1177</v>
      </c>
      <c r="I27" s="9">
        <v>1289</v>
      </c>
      <c r="J27" s="8">
        <v>1387</v>
      </c>
      <c r="K27" s="9">
        <v>1549</v>
      </c>
      <c r="L27" s="8">
        <v>1694</v>
      </c>
      <c r="M27" s="9">
        <v>1871</v>
      </c>
      <c r="N27" s="8">
        <v>1962</v>
      </c>
      <c r="O27" s="9">
        <v>2121</v>
      </c>
      <c r="P27" s="21">
        <v>2249</v>
      </c>
      <c r="Q27" s="35">
        <v>2583</v>
      </c>
      <c r="R27" s="35"/>
      <c r="S27" s="36">
        <v>484.6</v>
      </c>
      <c r="T27" s="36">
        <f t="shared" si="0"/>
        <v>5.3301692117210067</v>
      </c>
      <c r="U27" s="37">
        <f>V78</f>
        <v>114.2920517560074</v>
      </c>
      <c r="Z27" s="19"/>
      <c r="AA27" s="59" t="s">
        <v>114</v>
      </c>
      <c r="AB27" s="67">
        <f>AVERAGE(AB72:AB77)</f>
        <v>188.92634327787178</v>
      </c>
      <c r="AC27" s="68">
        <f>AVERAGE(AC72:AC76)</f>
        <v>133.78079004336959</v>
      </c>
      <c r="AD27" s="68">
        <f>AVERAGE(AD72)</f>
        <v>147.43107221006599</v>
      </c>
      <c r="AE27" s="94">
        <f>SUM(AB27:AD27)</f>
        <v>470.13820553130734</v>
      </c>
      <c r="AF27" s="94">
        <f>COUNT(AB27:AD32)</f>
        <v>3</v>
      </c>
    </row>
    <row r="28" spans="1:32" hidden="1" x14ac:dyDescent="0.2">
      <c r="A28" s="26" t="s">
        <v>87</v>
      </c>
      <c r="B28" s="8" t="s">
        <v>67</v>
      </c>
      <c r="C28" s="9" t="s">
        <v>67</v>
      </c>
      <c r="D28" s="8" t="s">
        <v>67</v>
      </c>
      <c r="E28" s="9" t="s">
        <v>67</v>
      </c>
      <c r="F28" s="8" t="s">
        <v>67</v>
      </c>
      <c r="G28" s="9" t="s">
        <v>67</v>
      </c>
      <c r="H28" s="8" t="s">
        <v>67</v>
      </c>
      <c r="I28" s="9" t="s">
        <v>67</v>
      </c>
      <c r="J28" s="8" t="s">
        <v>67</v>
      </c>
      <c r="K28" s="9">
        <v>56</v>
      </c>
      <c r="L28" s="8">
        <v>67</v>
      </c>
      <c r="M28" s="9">
        <v>682</v>
      </c>
      <c r="N28" s="8">
        <v>682</v>
      </c>
      <c r="O28" s="9">
        <v>421</v>
      </c>
      <c r="P28" s="8">
        <v>472</v>
      </c>
      <c r="Q28" s="27">
        <v>266</v>
      </c>
      <c r="U28" s="18">
        <v>104.86778398510242</v>
      </c>
      <c r="AE28" s="95"/>
      <c r="AF28" s="95"/>
    </row>
    <row r="29" spans="1:32" hidden="1" x14ac:dyDescent="0.2">
      <c r="A29" s="7" t="s">
        <v>40</v>
      </c>
      <c r="B29" s="8" t="s">
        <v>67</v>
      </c>
      <c r="C29" s="9" t="s">
        <v>67</v>
      </c>
      <c r="D29" s="8" t="s">
        <v>67</v>
      </c>
      <c r="E29" s="9" t="s">
        <v>67</v>
      </c>
      <c r="F29" s="8" t="s">
        <v>67</v>
      </c>
      <c r="G29" s="9" t="s">
        <v>67</v>
      </c>
      <c r="H29" s="8" t="s">
        <v>67</v>
      </c>
      <c r="I29" s="9" t="s">
        <v>67</v>
      </c>
      <c r="J29" s="8" t="s">
        <v>67</v>
      </c>
      <c r="K29" s="9">
        <v>577</v>
      </c>
      <c r="L29" s="8">
        <v>636</v>
      </c>
      <c r="M29" s="9">
        <v>868</v>
      </c>
      <c r="N29" s="8">
        <v>793</v>
      </c>
      <c r="O29" s="9">
        <v>854</v>
      </c>
      <c r="P29" s="8">
        <v>916</v>
      </c>
      <c r="Q29" s="8">
        <v>1052</v>
      </c>
      <c r="U29" s="18">
        <v>193.7188679245283</v>
      </c>
      <c r="AE29" s="95"/>
      <c r="AF29" s="95"/>
    </row>
    <row r="30" spans="1:32" hidden="1" x14ac:dyDescent="0.2">
      <c r="A30" s="7" t="s">
        <v>41</v>
      </c>
      <c r="B30" s="8" t="s">
        <v>67</v>
      </c>
      <c r="C30" s="9" t="s">
        <v>67</v>
      </c>
      <c r="D30" s="8" t="s">
        <v>67</v>
      </c>
      <c r="E30" s="9" t="s">
        <v>67</v>
      </c>
      <c r="F30" s="8" t="s">
        <v>67</v>
      </c>
      <c r="G30" s="9" t="s">
        <v>67</v>
      </c>
      <c r="H30" s="8" t="s">
        <v>67</v>
      </c>
      <c r="I30" s="9" t="s">
        <v>67</v>
      </c>
      <c r="J30" s="8" t="s">
        <v>67</v>
      </c>
      <c r="K30" s="9" t="s">
        <v>67</v>
      </c>
      <c r="L30" s="8" t="s">
        <v>67</v>
      </c>
      <c r="M30" s="9" t="s">
        <v>67</v>
      </c>
      <c r="N30" s="8" t="s">
        <v>67</v>
      </c>
      <c r="O30" s="9">
        <v>167</v>
      </c>
      <c r="P30" s="8">
        <v>188</v>
      </c>
      <c r="Q30" s="8">
        <v>232</v>
      </c>
      <c r="U30" s="18">
        <v>71.568138195777351</v>
      </c>
      <c r="AE30" s="95"/>
      <c r="AF30" s="95"/>
    </row>
    <row r="31" spans="1:32" hidden="1" x14ac:dyDescent="0.2">
      <c r="A31" s="7" t="s">
        <v>42</v>
      </c>
      <c r="B31" s="8">
        <v>370</v>
      </c>
      <c r="C31" s="9">
        <v>385</v>
      </c>
      <c r="D31" s="8">
        <v>425</v>
      </c>
      <c r="E31" s="9" t="s">
        <v>88</v>
      </c>
      <c r="F31" s="8" t="s">
        <v>88</v>
      </c>
      <c r="G31" s="9" t="s">
        <v>88</v>
      </c>
      <c r="H31" s="8">
        <v>553</v>
      </c>
      <c r="I31" s="9">
        <v>598</v>
      </c>
      <c r="J31" s="8">
        <v>642</v>
      </c>
      <c r="K31" s="9">
        <v>940</v>
      </c>
      <c r="L31" s="8">
        <v>1002</v>
      </c>
      <c r="M31" s="9">
        <v>1067</v>
      </c>
      <c r="N31" s="8">
        <v>1143</v>
      </c>
      <c r="O31" s="9">
        <v>1227</v>
      </c>
      <c r="P31" s="8">
        <v>1462</v>
      </c>
      <c r="Q31" s="8">
        <v>1633</v>
      </c>
      <c r="U31" s="18">
        <v>104.81188118811882</v>
      </c>
      <c r="AE31" s="95"/>
      <c r="AF31" s="95"/>
    </row>
    <row r="32" spans="1:32" hidden="1" x14ac:dyDescent="0.2">
      <c r="A32" s="23" t="s">
        <v>89</v>
      </c>
      <c r="B32" s="8" t="s">
        <v>90</v>
      </c>
      <c r="C32" s="9">
        <v>152</v>
      </c>
      <c r="D32" s="8">
        <v>166</v>
      </c>
      <c r="E32" s="9" t="s">
        <v>91</v>
      </c>
      <c r="F32" s="8" t="s">
        <v>91</v>
      </c>
      <c r="G32" s="9" t="s">
        <v>91</v>
      </c>
      <c r="H32" s="8">
        <v>257</v>
      </c>
      <c r="I32" s="9">
        <v>247</v>
      </c>
      <c r="J32" s="8">
        <v>303</v>
      </c>
      <c r="K32" s="9">
        <v>322</v>
      </c>
      <c r="L32" s="8">
        <v>409</v>
      </c>
      <c r="M32" s="9">
        <v>480</v>
      </c>
      <c r="N32" s="8">
        <v>547</v>
      </c>
      <c r="O32" s="9">
        <v>576</v>
      </c>
      <c r="P32" s="8">
        <v>606</v>
      </c>
      <c r="Q32" s="25" t="s">
        <v>67</v>
      </c>
      <c r="AE32" s="96"/>
      <c r="AF32" s="96"/>
    </row>
    <row r="33" spans="1:32" ht="19" x14ac:dyDescent="0.25">
      <c r="A33" s="38" t="s">
        <v>111</v>
      </c>
      <c r="Q33" s="35">
        <v>789</v>
      </c>
      <c r="R33" s="35"/>
      <c r="S33" s="36">
        <v>300</v>
      </c>
      <c r="T33" s="35">
        <f t="shared" ref="T33:T34" si="1">Q33/S33</f>
        <v>2.63</v>
      </c>
      <c r="U33" s="35">
        <v>147.43107221006599</v>
      </c>
      <c r="Z33" s="19"/>
      <c r="AA33" s="60" t="s">
        <v>115</v>
      </c>
      <c r="AB33" s="68">
        <f>AVERAGE(AB78)</f>
        <v>104.86778398510242</v>
      </c>
      <c r="AC33" s="68">
        <f>AVERAGE(AC78)</f>
        <v>88.125461254612546</v>
      </c>
      <c r="AD33" s="68">
        <f>AC78</f>
        <v>88.125461254612546</v>
      </c>
      <c r="AE33" s="58">
        <f>SUM(AB33:AD33)</f>
        <v>281.11870649432751</v>
      </c>
      <c r="AF33" s="58">
        <f>COUNT(AB33:AD37)</f>
        <v>9</v>
      </c>
    </row>
    <row r="34" spans="1:32" ht="19" x14ac:dyDescent="0.25">
      <c r="A34" s="34" t="s">
        <v>43</v>
      </c>
      <c r="B34" s="22" t="s">
        <v>92</v>
      </c>
      <c r="C34" s="9">
        <v>801</v>
      </c>
      <c r="D34" s="8">
        <v>842</v>
      </c>
      <c r="E34" s="9">
        <v>875</v>
      </c>
      <c r="F34" s="8">
        <v>911</v>
      </c>
      <c r="G34" s="9">
        <v>948</v>
      </c>
      <c r="H34" s="8">
        <v>987</v>
      </c>
      <c r="I34" s="9">
        <v>573</v>
      </c>
      <c r="J34" s="8">
        <v>581</v>
      </c>
      <c r="K34" s="9">
        <v>411</v>
      </c>
      <c r="L34" s="8">
        <v>445</v>
      </c>
      <c r="M34" s="9">
        <v>496</v>
      </c>
      <c r="N34" s="8">
        <v>1278</v>
      </c>
      <c r="O34" s="9">
        <v>1339</v>
      </c>
      <c r="P34" s="21">
        <v>1402</v>
      </c>
      <c r="Q34" s="35">
        <v>800</v>
      </c>
      <c r="R34" s="35"/>
      <c r="S34" s="36">
        <v>206.1</v>
      </c>
      <c r="T34" s="36">
        <f t="shared" si="1"/>
        <v>3.8816108685104318</v>
      </c>
      <c r="U34" s="35">
        <v>131.21335807050093</v>
      </c>
      <c r="Z34" s="19"/>
      <c r="AA34" s="61" t="s">
        <v>159</v>
      </c>
      <c r="AB34" s="18">
        <f>SUM(AB23:AB33)</f>
        <v>293.7941272629742</v>
      </c>
      <c r="AC34" s="18">
        <f>SUM(AC23:AC33)</f>
        <v>221.90625129798212</v>
      </c>
      <c r="AD34" s="18">
        <f>SUM(AD23:AD33)</f>
        <v>235.55653346467852</v>
      </c>
      <c r="AE34" s="69"/>
      <c r="AF34" s="58"/>
    </row>
    <row r="35" spans="1:32" ht="16" hidden="1" customHeight="1" x14ac:dyDescent="0.25">
      <c r="A35" s="26" t="s">
        <v>93</v>
      </c>
      <c r="B35" s="8" t="s">
        <v>67</v>
      </c>
      <c r="C35" s="9" t="s">
        <v>67</v>
      </c>
      <c r="D35" s="8" t="s">
        <v>67</v>
      </c>
      <c r="E35" s="9" t="s">
        <v>67</v>
      </c>
      <c r="F35" s="8" t="s">
        <v>67</v>
      </c>
      <c r="G35" s="9" t="s">
        <v>67</v>
      </c>
      <c r="H35" s="8" t="s">
        <v>67</v>
      </c>
      <c r="I35" s="9" t="s">
        <v>67</v>
      </c>
      <c r="J35" s="8" t="s">
        <v>67</v>
      </c>
      <c r="K35" s="9" t="s">
        <v>67</v>
      </c>
      <c r="L35" s="8" t="s">
        <v>67</v>
      </c>
      <c r="M35" s="9" t="s">
        <v>67</v>
      </c>
      <c r="N35" s="8" t="s">
        <v>67</v>
      </c>
      <c r="O35" s="9">
        <v>245</v>
      </c>
      <c r="P35" s="8">
        <v>274</v>
      </c>
      <c r="Q35" s="27" t="s">
        <v>67</v>
      </c>
      <c r="AB35" s="62">
        <f>COUNT(AB23:AB33)</f>
        <v>2</v>
      </c>
      <c r="AC35" s="62">
        <f>COUNT(AC23:AC33)</f>
        <v>2</v>
      </c>
      <c r="AD35" s="62">
        <f>COUNT(AD23:AD33)</f>
        <v>2</v>
      </c>
      <c r="AE35" s="55"/>
      <c r="AF35" s="55"/>
    </row>
    <row r="36" spans="1:32" ht="16" hidden="1" customHeight="1" x14ac:dyDescent="0.2">
      <c r="A36" s="7" t="s">
        <v>46</v>
      </c>
      <c r="B36" s="8" t="s">
        <v>67</v>
      </c>
      <c r="C36" s="9" t="s">
        <v>67</v>
      </c>
      <c r="D36" s="8" t="s">
        <v>67</v>
      </c>
      <c r="E36" s="9" t="s">
        <v>67</v>
      </c>
      <c r="F36" s="8" t="s">
        <v>67</v>
      </c>
      <c r="G36" s="9" t="s">
        <v>67</v>
      </c>
      <c r="H36" s="8" t="s">
        <v>67</v>
      </c>
      <c r="I36" s="9" t="s">
        <v>67</v>
      </c>
      <c r="J36" s="8" t="s">
        <v>67</v>
      </c>
      <c r="K36" s="9">
        <v>440</v>
      </c>
      <c r="L36" s="8">
        <v>473</v>
      </c>
      <c r="M36" s="9">
        <v>953</v>
      </c>
      <c r="N36" s="8">
        <v>554</v>
      </c>
      <c r="O36" s="9">
        <v>597</v>
      </c>
      <c r="P36" s="8">
        <v>654</v>
      </c>
      <c r="Q36" s="8">
        <v>764</v>
      </c>
      <c r="AE36" s="55"/>
      <c r="AF36" s="55"/>
    </row>
    <row r="37" spans="1:32" ht="16" hidden="1" customHeight="1" x14ac:dyDescent="0.2">
      <c r="A37" s="23" t="s">
        <v>94</v>
      </c>
      <c r="B37" s="8" t="s">
        <v>67</v>
      </c>
      <c r="C37" s="9" t="s">
        <v>67</v>
      </c>
      <c r="D37" s="8" t="s">
        <v>67</v>
      </c>
      <c r="E37" s="9" t="s">
        <v>67</v>
      </c>
      <c r="F37" s="8" t="s">
        <v>67</v>
      </c>
      <c r="G37" s="9" t="s">
        <v>67</v>
      </c>
      <c r="H37" s="8" t="s">
        <v>67</v>
      </c>
      <c r="I37" s="9" t="s">
        <v>67</v>
      </c>
      <c r="J37" s="8" t="s">
        <v>67</v>
      </c>
      <c r="K37" s="9" t="s">
        <v>67</v>
      </c>
      <c r="L37" s="8" t="s">
        <v>67</v>
      </c>
      <c r="M37" s="9" t="s">
        <v>67</v>
      </c>
      <c r="N37" s="8" t="s">
        <v>67</v>
      </c>
      <c r="O37" s="9">
        <v>373</v>
      </c>
      <c r="P37" s="8">
        <v>412</v>
      </c>
      <c r="Q37" s="25" t="s">
        <v>67</v>
      </c>
      <c r="AE37" s="56"/>
      <c r="AF37" s="56"/>
    </row>
    <row r="38" spans="1:32" ht="19" x14ac:dyDescent="0.25">
      <c r="A38" s="39" t="s">
        <v>47</v>
      </c>
      <c r="B38" s="22">
        <v>465</v>
      </c>
      <c r="C38" s="9">
        <v>556</v>
      </c>
      <c r="D38" s="8">
        <v>615</v>
      </c>
      <c r="E38" s="9" t="s">
        <v>95</v>
      </c>
      <c r="F38" s="8" t="s">
        <v>95</v>
      </c>
      <c r="G38" s="9" t="s">
        <v>95</v>
      </c>
      <c r="H38" s="8">
        <v>801</v>
      </c>
      <c r="I38" s="9">
        <v>962</v>
      </c>
      <c r="J38" s="8">
        <v>1025</v>
      </c>
      <c r="K38" s="9">
        <v>1107</v>
      </c>
      <c r="L38" s="8">
        <v>1211</v>
      </c>
      <c r="M38" s="9">
        <v>1315</v>
      </c>
      <c r="N38" s="8">
        <v>1424</v>
      </c>
      <c r="O38" s="9">
        <v>1553</v>
      </c>
      <c r="P38" s="21">
        <v>1710</v>
      </c>
      <c r="Q38" s="35">
        <v>1978</v>
      </c>
      <c r="R38" s="35"/>
      <c r="S38" s="36">
        <v>631</v>
      </c>
      <c r="T38" s="36">
        <f>Q38/S38</f>
        <v>3.1347068145800319</v>
      </c>
      <c r="U38" s="37">
        <f>V79</f>
        <v>184.513011152416</v>
      </c>
      <c r="Z38" s="19"/>
      <c r="AA38" s="61" t="s">
        <v>160</v>
      </c>
      <c r="AB38" s="57">
        <f>COUNT(AB27:AB34)</f>
        <v>3</v>
      </c>
      <c r="AC38" s="57">
        <f t="shared" ref="AC38:AD38" si="2">COUNT(AC27:AC34)</f>
        <v>3</v>
      </c>
      <c r="AD38" s="57">
        <f t="shared" si="2"/>
        <v>3</v>
      </c>
      <c r="AE38" s="35"/>
      <c r="AF38" s="35"/>
    </row>
    <row r="39" spans="1:32" hidden="1" x14ac:dyDescent="0.2">
      <c r="A39" s="26" t="s">
        <v>96</v>
      </c>
      <c r="B39" s="8">
        <v>646</v>
      </c>
      <c r="C39" s="9" t="s">
        <v>67</v>
      </c>
      <c r="D39" s="8" t="s">
        <v>67</v>
      </c>
      <c r="E39" s="9" t="s">
        <v>67</v>
      </c>
      <c r="F39" s="8" t="s">
        <v>67</v>
      </c>
      <c r="G39" s="9" t="s">
        <v>67</v>
      </c>
      <c r="H39" s="8" t="s">
        <v>67</v>
      </c>
      <c r="I39" s="9" t="s">
        <v>67</v>
      </c>
      <c r="J39" s="8" t="s">
        <v>67</v>
      </c>
      <c r="K39" s="9" t="s">
        <v>67</v>
      </c>
      <c r="L39" s="8" t="s">
        <v>67</v>
      </c>
      <c r="M39" s="9">
        <v>1337</v>
      </c>
      <c r="N39" s="8" t="s">
        <v>67</v>
      </c>
      <c r="O39" s="9" t="s">
        <v>67</v>
      </c>
      <c r="P39" s="8" t="s">
        <v>67</v>
      </c>
      <c r="Q39" s="27" t="s">
        <v>67</v>
      </c>
    </row>
    <row r="40" spans="1:32" hidden="1" x14ac:dyDescent="0.2">
      <c r="A40" s="7" t="s">
        <v>97</v>
      </c>
      <c r="B40" s="8">
        <v>219</v>
      </c>
      <c r="C40" s="9">
        <v>240</v>
      </c>
      <c r="D40" s="8">
        <v>281</v>
      </c>
      <c r="E40" s="9">
        <v>304</v>
      </c>
      <c r="F40" s="8">
        <v>330</v>
      </c>
      <c r="G40" s="9">
        <v>364</v>
      </c>
      <c r="H40" s="8">
        <v>402</v>
      </c>
      <c r="I40" s="9">
        <v>440</v>
      </c>
      <c r="J40" s="8">
        <v>478</v>
      </c>
      <c r="K40" s="9">
        <v>530</v>
      </c>
      <c r="L40" s="8">
        <v>603</v>
      </c>
      <c r="M40" s="9">
        <v>680</v>
      </c>
      <c r="N40" s="8">
        <v>768</v>
      </c>
      <c r="O40" s="9">
        <v>833</v>
      </c>
      <c r="P40" s="8">
        <v>955</v>
      </c>
      <c r="Q40" s="8">
        <v>1037</v>
      </c>
    </row>
    <row r="41" spans="1:32" hidden="1" x14ac:dyDescent="0.2">
      <c r="A41" s="7" t="s">
        <v>49</v>
      </c>
      <c r="B41" s="8" t="s">
        <v>67</v>
      </c>
      <c r="C41" s="9" t="s">
        <v>67</v>
      </c>
      <c r="D41" s="8" t="s">
        <v>67</v>
      </c>
      <c r="E41" s="9" t="s">
        <v>67</v>
      </c>
      <c r="F41" s="8" t="s">
        <v>67</v>
      </c>
      <c r="G41" s="9" t="s">
        <v>67</v>
      </c>
      <c r="H41" s="8" t="s">
        <v>67</v>
      </c>
      <c r="I41" s="9" t="s">
        <v>67</v>
      </c>
      <c r="J41" s="8" t="s">
        <v>67</v>
      </c>
      <c r="K41" s="9" t="s">
        <v>67</v>
      </c>
      <c r="L41" s="8" t="s">
        <v>67</v>
      </c>
      <c r="M41" s="9" t="s">
        <v>67</v>
      </c>
      <c r="N41" s="8" t="s">
        <v>67</v>
      </c>
      <c r="O41" s="9">
        <v>257</v>
      </c>
      <c r="P41" s="8">
        <v>277</v>
      </c>
      <c r="Q41" s="8">
        <v>324</v>
      </c>
    </row>
    <row r="42" spans="1:32" hidden="1" x14ac:dyDescent="0.2">
      <c r="A42" s="23" t="s">
        <v>50</v>
      </c>
      <c r="B42" s="8" t="s">
        <v>67</v>
      </c>
      <c r="C42" s="9" t="s">
        <v>67</v>
      </c>
      <c r="D42" s="8" t="s">
        <v>67</v>
      </c>
      <c r="E42" s="9" t="s">
        <v>67</v>
      </c>
      <c r="F42" s="8" t="s">
        <v>67</v>
      </c>
      <c r="G42" s="9" t="s">
        <v>67</v>
      </c>
      <c r="H42" s="8" t="s">
        <v>67</v>
      </c>
      <c r="I42" s="9" t="s">
        <v>67</v>
      </c>
      <c r="J42" s="8" t="s">
        <v>67</v>
      </c>
      <c r="K42" s="9">
        <v>387</v>
      </c>
      <c r="L42" s="8">
        <v>423</v>
      </c>
      <c r="M42" s="9">
        <v>420</v>
      </c>
      <c r="N42" s="8">
        <v>412</v>
      </c>
      <c r="O42" s="9">
        <v>459</v>
      </c>
      <c r="P42" s="8">
        <v>525</v>
      </c>
      <c r="Q42" s="25">
        <v>624</v>
      </c>
    </row>
    <row r="43" spans="1:32" ht="19" x14ac:dyDescent="0.25">
      <c r="A43" s="34" t="s">
        <v>98</v>
      </c>
      <c r="B43" s="22">
        <v>1030</v>
      </c>
      <c r="C43" s="9" t="s">
        <v>67</v>
      </c>
      <c r="D43" s="8" t="s">
        <v>67</v>
      </c>
      <c r="E43" s="9" t="s">
        <v>67</v>
      </c>
      <c r="F43" s="8" t="s">
        <v>67</v>
      </c>
      <c r="G43" s="9" t="s">
        <v>67</v>
      </c>
      <c r="H43" s="8" t="s">
        <v>67</v>
      </c>
      <c r="I43" s="9" t="s">
        <v>67</v>
      </c>
      <c r="J43" s="8" t="s">
        <v>67</v>
      </c>
      <c r="K43" s="9" t="s">
        <v>67</v>
      </c>
      <c r="L43" s="8" t="s">
        <v>67</v>
      </c>
      <c r="M43" s="9" t="s">
        <v>67</v>
      </c>
      <c r="N43" s="8" t="s">
        <v>67</v>
      </c>
      <c r="O43" s="9" t="s">
        <v>67</v>
      </c>
      <c r="P43" s="21" t="s">
        <v>67</v>
      </c>
      <c r="Q43" s="35">
        <v>12345</v>
      </c>
      <c r="R43" s="35"/>
      <c r="S43" s="36">
        <v>603.4</v>
      </c>
      <c r="T43" s="36">
        <f>Q43/S43</f>
        <v>20.459065296652305</v>
      </c>
      <c r="U43" s="37">
        <f>V85</f>
        <v>104.86778398510242</v>
      </c>
      <c r="Z43" s="19"/>
      <c r="AA43" s="19"/>
      <c r="AB43" s="19"/>
      <c r="AC43" s="19"/>
      <c r="AD43" s="19"/>
      <c r="AE43" s="19"/>
      <c r="AF43" s="19"/>
    </row>
    <row r="44" spans="1:32" hidden="1" x14ac:dyDescent="0.2">
      <c r="A44" s="26" t="s">
        <v>51</v>
      </c>
      <c r="B44" s="8">
        <v>416</v>
      </c>
      <c r="C44" s="9">
        <v>459</v>
      </c>
      <c r="D44" s="8">
        <v>503</v>
      </c>
      <c r="E44" s="9">
        <v>543</v>
      </c>
      <c r="F44" s="8">
        <v>770</v>
      </c>
      <c r="G44" s="9">
        <v>824</v>
      </c>
      <c r="H44" s="8">
        <v>884</v>
      </c>
      <c r="I44" s="9">
        <v>946</v>
      </c>
      <c r="J44" s="8">
        <v>1009</v>
      </c>
      <c r="K44" s="9">
        <v>1079</v>
      </c>
      <c r="L44" s="8">
        <v>1157</v>
      </c>
      <c r="M44" s="9">
        <v>1237</v>
      </c>
      <c r="N44" s="8">
        <v>1270</v>
      </c>
      <c r="O44" s="9">
        <v>1274</v>
      </c>
      <c r="P44" s="8">
        <v>1276</v>
      </c>
      <c r="Q44" s="27">
        <v>1527</v>
      </c>
    </row>
    <row r="45" spans="1:32" hidden="1" x14ac:dyDescent="0.2">
      <c r="A45" s="7" t="s">
        <v>52</v>
      </c>
      <c r="B45" s="8" t="s">
        <v>67</v>
      </c>
      <c r="C45" s="9" t="s">
        <v>67</v>
      </c>
      <c r="D45" s="8" t="s">
        <v>67</v>
      </c>
      <c r="E45" s="9" t="s">
        <v>67</v>
      </c>
      <c r="F45" s="8" t="s">
        <v>67</v>
      </c>
      <c r="G45" s="9" t="s">
        <v>67</v>
      </c>
      <c r="H45" s="8" t="s">
        <v>67</v>
      </c>
      <c r="I45" s="9" t="s">
        <v>67</v>
      </c>
      <c r="J45" s="8" t="s">
        <v>67</v>
      </c>
      <c r="K45" s="9">
        <v>358</v>
      </c>
      <c r="L45" s="8">
        <v>398</v>
      </c>
      <c r="M45" s="9">
        <v>444</v>
      </c>
      <c r="N45" s="8">
        <v>490</v>
      </c>
      <c r="O45" s="9">
        <v>541</v>
      </c>
      <c r="P45" s="8">
        <v>622</v>
      </c>
      <c r="Q45" s="8">
        <v>708</v>
      </c>
    </row>
    <row r="46" spans="1:32" hidden="1" x14ac:dyDescent="0.2">
      <c r="A46" s="23" t="s">
        <v>53</v>
      </c>
      <c r="B46" s="8" t="s">
        <v>67</v>
      </c>
      <c r="C46" s="9" t="s">
        <v>67</v>
      </c>
      <c r="D46" s="8" t="s">
        <v>67</v>
      </c>
      <c r="E46" s="9" t="s">
        <v>67</v>
      </c>
      <c r="F46" s="8" t="s">
        <v>67</v>
      </c>
      <c r="G46" s="9" t="s">
        <v>67</v>
      </c>
      <c r="H46" s="8" t="s">
        <v>67</v>
      </c>
      <c r="I46" s="9" t="s">
        <v>67</v>
      </c>
      <c r="J46" s="8" t="s">
        <v>67</v>
      </c>
      <c r="K46" s="9" t="s">
        <v>67</v>
      </c>
      <c r="L46" s="8" t="s">
        <v>67</v>
      </c>
      <c r="M46" s="9" t="s">
        <v>67</v>
      </c>
      <c r="N46" s="8" t="s">
        <v>67</v>
      </c>
      <c r="O46" s="9" t="s">
        <v>67</v>
      </c>
      <c r="P46" s="8" t="s">
        <v>67</v>
      </c>
      <c r="Q46" s="25">
        <v>267</v>
      </c>
    </row>
    <row r="47" spans="1:32" ht="19" x14ac:dyDescent="0.25">
      <c r="A47" s="39" t="s">
        <v>54</v>
      </c>
      <c r="B47" s="22">
        <v>293</v>
      </c>
      <c r="C47" s="9">
        <v>313</v>
      </c>
      <c r="D47" s="8">
        <v>336</v>
      </c>
      <c r="E47" s="9" t="s">
        <v>99</v>
      </c>
      <c r="F47" s="8">
        <v>378</v>
      </c>
      <c r="G47" s="9">
        <v>405</v>
      </c>
      <c r="H47" s="8">
        <v>437</v>
      </c>
      <c r="I47" s="9">
        <v>471</v>
      </c>
      <c r="J47" s="8">
        <v>516</v>
      </c>
      <c r="K47" s="9">
        <v>581</v>
      </c>
      <c r="L47" s="8">
        <v>658</v>
      </c>
      <c r="M47" s="9">
        <v>743</v>
      </c>
      <c r="N47" s="8">
        <v>829</v>
      </c>
      <c r="O47" s="9">
        <v>941</v>
      </c>
      <c r="P47" s="21">
        <v>1019</v>
      </c>
      <c r="Q47" s="35">
        <v>1258</v>
      </c>
      <c r="R47" s="35"/>
      <c r="S47" s="36">
        <v>136</v>
      </c>
      <c r="T47" s="36">
        <f>Q47/S47</f>
        <v>9.25</v>
      </c>
      <c r="U47" s="37">
        <f>V86</f>
        <v>193.7188679245283</v>
      </c>
      <c r="Z47" s="19"/>
      <c r="AA47" s="19"/>
      <c r="AB47" s="19"/>
      <c r="AC47" s="19"/>
      <c r="AD47" s="19"/>
      <c r="AE47" s="19"/>
      <c r="AF47" s="19"/>
    </row>
    <row r="48" spans="1:32" hidden="1" x14ac:dyDescent="0.2">
      <c r="A48" s="26" t="s">
        <v>55</v>
      </c>
      <c r="B48" s="8">
        <v>620</v>
      </c>
      <c r="C48" s="9">
        <v>658</v>
      </c>
      <c r="D48" s="8">
        <v>697</v>
      </c>
      <c r="E48" s="9">
        <v>755</v>
      </c>
      <c r="F48" s="8">
        <v>827</v>
      </c>
      <c r="G48" s="9">
        <v>874</v>
      </c>
      <c r="H48" s="8">
        <v>930</v>
      </c>
      <c r="I48" s="9">
        <v>1141</v>
      </c>
      <c r="J48" s="8">
        <v>1153</v>
      </c>
      <c r="K48" s="9">
        <v>1908</v>
      </c>
      <c r="L48" s="8">
        <v>2094</v>
      </c>
      <c r="M48" s="9">
        <v>2267</v>
      </c>
      <c r="N48" s="8">
        <v>2347</v>
      </c>
      <c r="O48" s="9">
        <v>2185</v>
      </c>
      <c r="P48" s="8">
        <v>2337</v>
      </c>
      <c r="Q48" s="27">
        <v>2717</v>
      </c>
    </row>
    <row r="49" spans="1:42" hidden="1" x14ac:dyDescent="0.2">
      <c r="A49" s="7" t="s">
        <v>56</v>
      </c>
      <c r="B49" s="8" t="s">
        <v>67</v>
      </c>
      <c r="C49" s="9" t="s">
        <v>67</v>
      </c>
      <c r="D49" s="8" t="s">
        <v>67</v>
      </c>
      <c r="E49" s="9" t="s">
        <v>67</v>
      </c>
      <c r="F49" s="8" t="s">
        <v>67</v>
      </c>
      <c r="G49" s="9" t="s">
        <v>67</v>
      </c>
      <c r="H49" s="8" t="s">
        <v>67</v>
      </c>
      <c r="I49" s="9" t="s">
        <v>67</v>
      </c>
      <c r="J49" s="8" t="s">
        <v>67</v>
      </c>
      <c r="K49" s="9">
        <v>469</v>
      </c>
      <c r="L49" s="8">
        <v>527</v>
      </c>
      <c r="M49" s="9">
        <v>579</v>
      </c>
      <c r="N49" s="8">
        <v>639</v>
      </c>
      <c r="O49" s="9">
        <v>980</v>
      </c>
      <c r="P49" s="8">
        <v>1112</v>
      </c>
      <c r="Q49" s="8">
        <v>1324</v>
      </c>
    </row>
    <row r="50" spans="1:42" hidden="1" x14ac:dyDescent="0.2">
      <c r="A50" s="7" t="s">
        <v>57</v>
      </c>
      <c r="B50" s="8" t="s">
        <v>67</v>
      </c>
      <c r="C50" s="9" t="s">
        <v>67</v>
      </c>
      <c r="D50" s="8" t="s">
        <v>67</v>
      </c>
      <c r="E50" s="9" t="s">
        <v>67</v>
      </c>
      <c r="F50" s="8" t="s">
        <v>67</v>
      </c>
      <c r="G50" s="9" t="s">
        <v>67</v>
      </c>
      <c r="H50" s="8" t="s">
        <v>67</v>
      </c>
      <c r="I50" s="9" t="s">
        <v>67</v>
      </c>
      <c r="J50" s="8" t="s">
        <v>67</v>
      </c>
      <c r="K50" s="9" t="s">
        <v>67</v>
      </c>
      <c r="L50" s="8" t="s">
        <v>67</v>
      </c>
      <c r="M50" s="9">
        <v>760</v>
      </c>
      <c r="N50" s="8">
        <v>827</v>
      </c>
      <c r="O50" s="9">
        <v>888</v>
      </c>
      <c r="P50" s="8">
        <v>979</v>
      </c>
      <c r="Q50" s="8">
        <v>1926</v>
      </c>
    </row>
    <row r="51" spans="1:42" hidden="1" x14ac:dyDescent="0.2">
      <c r="A51" s="7" t="s">
        <v>58</v>
      </c>
      <c r="B51" s="8" t="s">
        <v>67</v>
      </c>
      <c r="C51" s="9" t="s">
        <v>67</v>
      </c>
      <c r="D51" s="8" t="s">
        <v>67</v>
      </c>
      <c r="E51" s="9" t="s">
        <v>67</v>
      </c>
      <c r="F51" s="8" t="s">
        <v>67</v>
      </c>
      <c r="G51" s="9" t="s">
        <v>67</v>
      </c>
      <c r="H51" s="8" t="s">
        <v>67</v>
      </c>
      <c r="I51" s="9" t="s">
        <v>67</v>
      </c>
      <c r="J51" s="8" t="s">
        <v>67</v>
      </c>
      <c r="K51" s="9" t="s">
        <v>67</v>
      </c>
      <c r="L51" s="8" t="s">
        <v>67</v>
      </c>
      <c r="M51" s="9">
        <v>729</v>
      </c>
      <c r="N51" s="8">
        <v>684</v>
      </c>
      <c r="O51" s="9">
        <v>74</v>
      </c>
      <c r="P51" s="8">
        <v>547</v>
      </c>
      <c r="Q51" s="8">
        <v>765</v>
      </c>
    </row>
    <row r="52" spans="1:42" hidden="1" x14ac:dyDescent="0.2">
      <c r="A52" s="7" t="s">
        <v>59</v>
      </c>
      <c r="B52" s="8" t="s">
        <v>67</v>
      </c>
      <c r="C52" s="9" t="s">
        <v>67</v>
      </c>
      <c r="D52" s="8" t="s">
        <v>67</v>
      </c>
      <c r="E52" s="9" t="s">
        <v>67</v>
      </c>
      <c r="F52" s="8" t="s">
        <v>67</v>
      </c>
      <c r="G52" s="9" t="s">
        <v>67</v>
      </c>
      <c r="H52" s="8" t="s">
        <v>67</v>
      </c>
      <c r="I52" s="9" t="s">
        <v>67</v>
      </c>
      <c r="J52" s="8" t="s">
        <v>67</v>
      </c>
      <c r="K52" s="9">
        <v>172</v>
      </c>
      <c r="L52" s="8">
        <v>184</v>
      </c>
      <c r="M52" s="9">
        <v>201</v>
      </c>
      <c r="N52" s="8">
        <v>218</v>
      </c>
      <c r="O52" s="9">
        <v>218</v>
      </c>
      <c r="P52" s="8">
        <v>236</v>
      </c>
      <c r="Q52" s="8">
        <v>291</v>
      </c>
    </row>
    <row r="53" spans="1:42" hidden="1" x14ac:dyDescent="0.2">
      <c r="A53" s="23" t="s">
        <v>60</v>
      </c>
      <c r="B53" s="8">
        <v>534</v>
      </c>
      <c r="C53" s="9">
        <v>575</v>
      </c>
      <c r="D53" s="8">
        <v>633</v>
      </c>
      <c r="E53" s="9">
        <v>692</v>
      </c>
      <c r="F53" s="8" t="s">
        <v>100</v>
      </c>
      <c r="G53" s="9" t="s">
        <v>100</v>
      </c>
      <c r="H53" s="8">
        <v>912</v>
      </c>
      <c r="I53" s="9">
        <v>982</v>
      </c>
      <c r="J53" s="8">
        <v>1036</v>
      </c>
      <c r="K53" s="9" t="s">
        <v>67</v>
      </c>
      <c r="L53" s="8" t="s">
        <v>67</v>
      </c>
      <c r="M53" s="9">
        <v>1145</v>
      </c>
      <c r="N53" s="8">
        <v>1241</v>
      </c>
      <c r="O53" s="9">
        <v>2244</v>
      </c>
      <c r="P53" s="8">
        <v>2459</v>
      </c>
      <c r="Q53" s="25">
        <v>2887</v>
      </c>
    </row>
    <row r="54" spans="1:42" ht="17" customHeight="1" x14ac:dyDescent="0.25">
      <c r="A54" s="39" t="s">
        <v>62</v>
      </c>
      <c r="B54" s="22" t="s">
        <v>67</v>
      </c>
      <c r="C54" s="9" t="s">
        <v>67</v>
      </c>
      <c r="D54" s="8" t="s">
        <v>67</v>
      </c>
      <c r="E54" s="9" t="s">
        <v>67</v>
      </c>
      <c r="F54" s="8" t="s">
        <v>67</v>
      </c>
      <c r="G54" s="9" t="s">
        <v>67</v>
      </c>
      <c r="H54" s="8" t="s">
        <v>67</v>
      </c>
      <c r="I54" s="9" t="s">
        <v>67</v>
      </c>
      <c r="J54" s="8" t="s">
        <v>67</v>
      </c>
      <c r="K54" s="9" t="s">
        <v>67</v>
      </c>
      <c r="L54" s="8" t="s">
        <v>67</v>
      </c>
      <c r="M54" s="9" t="s">
        <v>67</v>
      </c>
      <c r="N54" s="8" t="s">
        <v>67</v>
      </c>
      <c r="O54" s="9">
        <v>535</v>
      </c>
      <c r="P54" s="21">
        <v>572</v>
      </c>
      <c r="Q54" s="35">
        <v>813</v>
      </c>
      <c r="R54" s="35"/>
      <c r="S54" s="36">
        <v>214</v>
      </c>
      <c r="T54" s="36">
        <f>Q54/S54</f>
        <v>3.7990654205607477</v>
      </c>
      <c r="U54" s="35">
        <v>71.568138195777394</v>
      </c>
      <c r="Z54" s="19"/>
      <c r="AA54" s="19"/>
      <c r="AB54" s="19"/>
      <c r="AC54" s="19"/>
      <c r="AD54" s="19"/>
      <c r="AE54" s="19"/>
      <c r="AF54" s="19"/>
    </row>
    <row r="55" spans="1:42" hidden="1" x14ac:dyDescent="0.2">
      <c r="A55" s="26" t="s">
        <v>101</v>
      </c>
      <c r="B55" s="8" t="s">
        <v>67</v>
      </c>
      <c r="C55" s="9" t="s">
        <v>67</v>
      </c>
      <c r="D55" s="8" t="s">
        <v>67</v>
      </c>
      <c r="E55" s="9" t="s">
        <v>67</v>
      </c>
      <c r="F55" s="8" t="s">
        <v>67</v>
      </c>
      <c r="G55" s="9" t="s">
        <v>67</v>
      </c>
      <c r="H55" s="8" t="s">
        <v>67</v>
      </c>
      <c r="I55" s="9" t="s">
        <v>67</v>
      </c>
      <c r="J55" s="8" t="s">
        <v>67</v>
      </c>
      <c r="K55" s="9" t="s">
        <v>67</v>
      </c>
      <c r="L55" s="8" t="s">
        <v>67</v>
      </c>
      <c r="M55" s="9" t="s">
        <v>67</v>
      </c>
      <c r="N55" s="8" t="s">
        <v>67</v>
      </c>
      <c r="O55" s="9">
        <v>329</v>
      </c>
      <c r="P55" s="8">
        <v>355</v>
      </c>
      <c r="Q55" s="27" t="s">
        <v>67</v>
      </c>
      <c r="U55" s="18">
        <v>104.81188118811882</v>
      </c>
    </row>
    <row r="56" spans="1:42" hidden="1" x14ac:dyDescent="0.2">
      <c r="A56" s="7" t="s">
        <v>102</v>
      </c>
      <c r="B56" s="8" t="s">
        <v>67</v>
      </c>
      <c r="C56" s="9" t="s">
        <v>67</v>
      </c>
      <c r="D56" s="8" t="s">
        <v>67</v>
      </c>
      <c r="E56" s="9" t="s">
        <v>67</v>
      </c>
      <c r="F56" s="8" t="s">
        <v>67</v>
      </c>
      <c r="G56" s="9" t="s">
        <v>67</v>
      </c>
      <c r="H56" s="8" t="s">
        <v>67</v>
      </c>
      <c r="I56" s="9" t="s">
        <v>67</v>
      </c>
      <c r="J56" s="8" t="s">
        <v>67</v>
      </c>
      <c r="K56" s="9">
        <v>400</v>
      </c>
      <c r="L56" s="8">
        <v>457</v>
      </c>
      <c r="M56" s="9">
        <v>521</v>
      </c>
      <c r="N56" s="8">
        <v>593</v>
      </c>
      <c r="O56" s="9" t="s">
        <v>67</v>
      </c>
      <c r="P56" s="8" t="s">
        <v>67</v>
      </c>
      <c r="Q56" s="8" t="s">
        <v>67</v>
      </c>
    </row>
    <row r="57" spans="1:42" hidden="1" x14ac:dyDescent="0.2">
      <c r="A57" s="7" t="s">
        <v>61</v>
      </c>
      <c r="B57" s="8" t="s">
        <v>67</v>
      </c>
      <c r="C57" s="9" t="s">
        <v>67</v>
      </c>
      <c r="D57" s="8" t="s">
        <v>67</v>
      </c>
      <c r="E57" s="9" t="s">
        <v>67</v>
      </c>
      <c r="F57" s="8" t="s">
        <v>67</v>
      </c>
      <c r="G57" s="9" t="s">
        <v>67</v>
      </c>
      <c r="H57" s="8" t="s">
        <v>67</v>
      </c>
      <c r="I57" s="9" t="s">
        <v>67</v>
      </c>
      <c r="J57" s="8" t="s">
        <v>67</v>
      </c>
      <c r="K57" s="9" t="s">
        <v>67</v>
      </c>
      <c r="L57" s="8" t="s">
        <v>67</v>
      </c>
      <c r="M57" s="9" t="s">
        <v>67</v>
      </c>
      <c r="N57" s="8" t="s">
        <v>67</v>
      </c>
      <c r="O57" s="9">
        <v>649</v>
      </c>
      <c r="P57" s="8">
        <v>763</v>
      </c>
      <c r="Q57" s="8">
        <v>831</v>
      </c>
    </row>
    <row r="58" spans="1:42" hidden="1" x14ac:dyDescent="0.2">
      <c r="A58" s="7" t="s">
        <v>64</v>
      </c>
      <c r="B58" s="8">
        <v>475</v>
      </c>
      <c r="C58" s="9">
        <v>506</v>
      </c>
      <c r="D58" s="8">
        <v>546</v>
      </c>
      <c r="E58" s="9">
        <v>586</v>
      </c>
      <c r="F58" s="8" t="s">
        <v>103</v>
      </c>
      <c r="G58" s="9" t="s">
        <v>103</v>
      </c>
      <c r="H58" s="8">
        <v>861</v>
      </c>
      <c r="I58" s="9">
        <v>934</v>
      </c>
      <c r="J58" s="8">
        <v>1009</v>
      </c>
      <c r="K58" s="9" t="s">
        <v>67</v>
      </c>
      <c r="L58" s="8" t="s">
        <v>67</v>
      </c>
      <c r="M58" s="9">
        <v>839</v>
      </c>
      <c r="N58" s="8">
        <v>633</v>
      </c>
      <c r="O58" s="9">
        <v>980</v>
      </c>
      <c r="P58" s="8">
        <v>1042</v>
      </c>
      <c r="Q58" s="8">
        <v>2022</v>
      </c>
    </row>
    <row r="59" spans="1:42" hidden="1" x14ac:dyDescent="0.2">
      <c r="A59" s="7" t="s">
        <v>104</v>
      </c>
      <c r="B59" s="8">
        <v>333</v>
      </c>
      <c r="C59" s="9">
        <v>339</v>
      </c>
      <c r="D59" s="8">
        <v>366</v>
      </c>
      <c r="E59" s="9" t="s">
        <v>105</v>
      </c>
      <c r="F59" s="8" t="s">
        <v>105</v>
      </c>
      <c r="G59" s="9" t="s">
        <v>105</v>
      </c>
      <c r="H59" s="8">
        <v>456</v>
      </c>
      <c r="I59" s="9">
        <v>482</v>
      </c>
      <c r="J59" s="8">
        <v>522</v>
      </c>
      <c r="K59" s="9">
        <v>497</v>
      </c>
      <c r="L59" s="8">
        <v>538</v>
      </c>
      <c r="M59" s="9">
        <v>588</v>
      </c>
      <c r="N59" s="8">
        <v>517</v>
      </c>
      <c r="O59" s="9">
        <v>695</v>
      </c>
      <c r="P59" s="8">
        <v>769</v>
      </c>
      <c r="Q59" s="8">
        <v>907</v>
      </c>
    </row>
    <row r="60" spans="1:42" hidden="1" x14ac:dyDescent="0.2">
      <c r="A60" s="23" t="s">
        <v>106</v>
      </c>
      <c r="B60" s="8" t="s">
        <v>67</v>
      </c>
      <c r="C60" s="9" t="s">
        <v>67</v>
      </c>
      <c r="D60" s="8" t="s">
        <v>67</v>
      </c>
      <c r="E60" s="9" t="s">
        <v>67</v>
      </c>
      <c r="F60" s="8" t="s">
        <v>67</v>
      </c>
      <c r="G60" s="9" t="s">
        <v>67</v>
      </c>
      <c r="H60" s="8" t="s">
        <v>67</v>
      </c>
      <c r="I60" s="9" t="s">
        <v>67</v>
      </c>
      <c r="J60" s="8" t="s">
        <v>67</v>
      </c>
      <c r="K60" s="9">
        <v>523</v>
      </c>
      <c r="L60" s="8">
        <v>466</v>
      </c>
      <c r="M60" s="9">
        <v>553</v>
      </c>
      <c r="N60" s="8">
        <v>914</v>
      </c>
      <c r="O60" s="9">
        <v>568</v>
      </c>
      <c r="P60" s="8">
        <v>610</v>
      </c>
      <c r="Q60" s="25" t="s">
        <v>67</v>
      </c>
    </row>
    <row r="61" spans="1:42" ht="18" customHeight="1" x14ac:dyDescent="0.25">
      <c r="A61" s="39" t="s">
        <v>107</v>
      </c>
      <c r="B61" s="22" t="s">
        <v>108</v>
      </c>
      <c r="C61" s="9">
        <v>364</v>
      </c>
      <c r="D61" s="8">
        <v>393</v>
      </c>
      <c r="E61" s="9">
        <v>412</v>
      </c>
      <c r="F61" s="8">
        <v>435</v>
      </c>
      <c r="G61" s="9">
        <v>462</v>
      </c>
      <c r="H61" s="8">
        <v>472</v>
      </c>
      <c r="I61" s="9">
        <v>515</v>
      </c>
      <c r="J61" s="8">
        <v>559</v>
      </c>
      <c r="K61" s="9">
        <v>586</v>
      </c>
      <c r="L61" s="8">
        <v>617</v>
      </c>
      <c r="M61" s="9">
        <v>683</v>
      </c>
      <c r="N61" s="8">
        <v>643</v>
      </c>
      <c r="O61" s="9">
        <v>690</v>
      </c>
      <c r="P61" s="21">
        <v>731</v>
      </c>
      <c r="Q61" s="35">
        <v>783</v>
      </c>
      <c r="R61" s="35"/>
      <c r="S61" s="36">
        <v>682</v>
      </c>
      <c r="T61" s="36">
        <f>Q61/S61</f>
        <v>1.1480938416422288</v>
      </c>
      <c r="U61" s="35">
        <v>104.811881188119</v>
      </c>
      <c r="Z61" s="19"/>
      <c r="AA61" s="19"/>
      <c r="AB61" s="19"/>
      <c r="AC61" s="19"/>
      <c r="AD61" s="19"/>
      <c r="AE61" s="19"/>
      <c r="AF61" s="19"/>
    </row>
    <row r="62" spans="1:42" ht="19" x14ac:dyDescent="0.25">
      <c r="A62" s="40"/>
      <c r="Q62" s="40"/>
      <c r="R62" s="40"/>
      <c r="S62" s="40"/>
      <c r="T62" s="40"/>
      <c r="U62" s="40"/>
      <c r="W62" s="40"/>
      <c r="X62" s="40"/>
      <c r="Y62" s="40"/>
      <c r="Z62" s="40"/>
      <c r="AA62" s="19"/>
      <c r="AB62" s="19"/>
      <c r="AC62" s="19"/>
      <c r="AD62" s="19"/>
      <c r="AE62" s="19"/>
      <c r="AF62" s="19"/>
    </row>
    <row r="63" spans="1:42" ht="19" x14ac:dyDescent="0.25">
      <c r="A63" s="41" t="s">
        <v>132</v>
      </c>
      <c r="Q63" s="49">
        <f>MAX(Q6:Q61)</f>
        <v>21267</v>
      </c>
      <c r="R63" s="40"/>
      <c r="S63" s="40"/>
      <c r="T63" s="49">
        <f>MAX(T6:T61)</f>
        <v>81.171755725190835</v>
      </c>
      <c r="U63" s="49">
        <f>MAX(U6:U61)</f>
        <v>424.92424242424198</v>
      </c>
      <c r="W63" s="40"/>
      <c r="X63" s="40"/>
      <c r="Y63" s="40"/>
      <c r="Z63" s="40"/>
      <c r="AK63" s="45" t="s">
        <v>136</v>
      </c>
      <c r="AL63" s="41">
        <f>COUNT(AB27:AD33)</f>
        <v>6</v>
      </c>
      <c r="AM63" s="40"/>
      <c r="AN63" s="40"/>
      <c r="AO63" s="54" t="s">
        <v>137</v>
      </c>
      <c r="AP63" s="54">
        <f>AL64-AP65</f>
        <v>7791.3386715598754</v>
      </c>
    </row>
    <row r="64" spans="1:42" ht="22" x14ac:dyDescent="0.25">
      <c r="A64" s="41" t="s">
        <v>133</v>
      </c>
      <c r="Q64" s="50">
        <f>MIN(Q6:Q61)</f>
        <v>210</v>
      </c>
      <c r="R64" s="40"/>
      <c r="S64" s="40"/>
      <c r="T64" s="50">
        <f>MIN(T6:T61)</f>
        <v>1.1480938416422288</v>
      </c>
      <c r="U64" s="50">
        <f>MIN(U6:U61)</f>
        <v>71.568138195777351</v>
      </c>
      <c r="W64" s="40"/>
      <c r="X64" s="40"/>
      <c r="Y64" s="40"/>
      <c r="Z64" s="40"/>
      <c r="AK64" s="45" t="s">
        <v>161</v>
      </c>
      <c r="AL64" s="41">
        <f>SUMSQ(AB27:AD33)</f>
        <v>101855.82998260861</v>
      </c>
      <c r="AM64" s="40"/>
      <c r="AN64" s="40"/>
      <c r="AO64" s="46"/>
      <c r="AP64" s="40"/>
    </row>
    <row r="65" spans="1:53" ht="22" x14ac:dyDescent="0.25">
      <c r="A65" s="40"/>
      <c r="Q65" s="40"/>
      <c r="R65" s="40"/>
      <c r="S65" s="40"/>
      <c r="T65" s="40"/>
      <c r="U65" s="40"/>
      <c r="W65" s="40"/>
      <c r="X65" s="40"/>
      <c r="Y65" s="40"/>
      <c r="Z65" s="40"/>
      <c r="AK65" s="45" t="s">
        <v>138</v>
      </c>
      <c r="AL65" s="41">
        <f>SUM(AB27:AD33)</f>
        <v>751.25691202563485</v>
      </c>
      <c r="AM65" s="40"/>
      <c r="AN65" s="40"/>
      <c r="AO65" s="48" t="s">
        <v>165</v>
      </c>
      <c r="AP65" s="41">
        <f>AL65^2/AL63</f>
        <v>94064.49131104874</v>
      </c>
    </row>
    <row r="66" spans="1:53" ht="19" x14ac:dyDescent="0.25">
      <c r="A66" s="40"/>
      <c r="Q66" s="40"/>
      <c r="R66" s="40"/>
      <c r="S66" s="40"/>
      <c r="T66" s="40"/>
      <c r="U66" s="40"/>
      <c r="W66" s="40"/>
      <c r="X66" s="40"/>
      <c r="Y66" s="40"/>
      <c r="Z66" s="40"/>
      <c r="AK66" s="46"/>
      <c r="AL66" s="40"/>
      <c r="AM66" s="40"/>
      <c r="AN66" s="40"/>
      <c r="AO66" s="46"/>
      <c r="AP66" s="40"/>
    </row>
    <row r="67" spans="1:53" ht="25" customHeight="1" x14ac:dyDescent="0.25">
      <c r="A67" s="42"/>
      <c r="Q67" s="41" t="s">
        <v>118</v>
      </c>
      <c r="R67" s="40"/>
      <c r="S67" s="40"/>
      <c r="T67" s="93" t="s">
        <v>113</v>
      </c>
      <c r="U67" s="93"/>
      <c r="W67" s="40"/>
      <c r="X67" s="40"/>
      <c r="Y67" s="93" t="s">
        <v>121</v>
      </c>
      <c r="Z67" s="93"/>
      <c r="AK67" s="47" t="s">
        <v>162</v>
      </c>
      <c r="AL67" s="41">
        <f>(AE27^2/AF27)+(AE33^2/AF33)</f>
        <v>82457.502671293012</v>
      </c>
      <c r="AM67" s="40"/>
      <c r="AN67" s="40"/>
      <c r="AO67" s="54" t="s">
        <v>139</v>
      </c>
      <c r="AP67" s="54">
        <f>AL67-AP65</f>
        <v>-11606.988639755727</v>
      </c>
    </row>
    <row r="68" spans="1:53" ht="25" customHeight="1" x14ac:dyDescent="0.25">
      <c r="A68" s="43"/>
      <c r="Q68" s="41" t="s">
        <v>120</v>
      </c>
      <c r="R68" s="40"/>
      <c r="S68" s="40"/>
      <c r="T68" s="51" t="s">
        <v>114</v>
      </c>
      <c r="U68" s="41" t="s">
        <v>134</v>
      </c>
      <c r="W68" s="40"/>
      <c r="X68" s="40"/>
      <c r="Y68" s="41" t="s">
        <v>126</v>
      </c>
      <c r="Z68" s="41" t="s">
        <v>123</v>
      </c>
      <c r="AK68" s="47" t="s">
        <v>163</v>
      </c>
      <c r="AL68" s="41">
        <f>(AB34^2/AB38)+(AC34^2/AC38)+(AD34^2/AD38)</f>
        <v>63681.418012410693</v>
      </c>
      <c r="AM68" s="40"/>
      <c r="AN68" s="40"/>
      <c r="AO68" s="54" t="s">
        <v>140</v>
      </c>
      <c r="AP68" s="54">
        <f>AL68-AP65</f>
        <v>-30383.073298638046</v>
      </c>
    </row>
    <row r="69" spans="1:53" ht="23" customHeight="1" x14ac:dyDescent="0.25">
      <c r="A69" s="44"/>
      <c r="Q69" s="41" t="s">
        <v>119</v>
      </c>
      <c r="R69" s="40"/>
      <c r="S69" s="40"/>
      <c r="T69" s="52" t="s">
        <v>115</v>
      </c>
      <c r="U69" s="41" t="s">
        <v>135</v>
      </c>
      <c r="W69" s="40"/>
      <c r="X69" s="40"/>
      <c r="Y69" s="41" t="s">
        <v>127</v>
      </c>
      <c r="Z69" s="41" t="s">
        <v>124</v>
      </c>
      <c r="AK69" s="46"/>
      <c r="AL69" s="40"/>
      <c r="AM69" s="40"/>
      <c r="AN69" s="40"/>
      <c r="AO69" s="46"/>
      <c r="AP69" s="40"/>
    </row>
    <row r="70" spans="1:53" ht="19" x14ac:dyDescent="0.25">
      <c r="A70" s="40"/>
      <c r="Q70" s="40"/>
      <c r="R70" s="40"/>
      <c r="S70" s="53"/>
      <c r="T70" s="40"/>
      <c r="U70" s="40"/>
      <c r="W70" s="40"/>
      <c r="X70" s="40"/>
      <c r="Y70" s="41" t="s">
        <v>128</v>
      </c>
      <c r="Z70" s="41" t="s">
        <v>125</v>
      </c>
      <c r="AA70" s="19"/>
      <c r="AB70" s="19"/>
      <c r="AC70" s="19"/>
      <c r="AD70" s="19"/>
      <c r="AE70" s="19"/>
      <c r="AF70" s="19"/>
      <c r="AG70" s="19"/>
      <c r="AM70" s="40"/>
    </row>
    <row r="71" spans="1:53" ht="22" customHeight="1" x14ac:dyDescent="0.25">
      <c r="A71" s="40"/>
      <c r="Q71" s="40"/>
      <c r="R71" s="40"/>
      <c r="S71" s="40"/>
      <c r="T71" s="40"/>
      <c r="U71" s="40"/>
      <c r="V71" s="18">
        <v>424.92424242424198</v>
      </c>
      <c r="W71" s="40"/>
      <c r="X71" s="40"/>
      <c r="Y71" s="40"/>
      <c r="Z71" s="40"/>
      <c r="AB71" t="s">
        <v>129</v>
      </c>
      <c r="AC71" t="s">
        <v>130</v>
      </c>
      <c r="AD71" t="s">
        <v>131</v>
      </c>
      <c r="AE71" t="s">
        <v>157</v>
      </c>
      <c r="AF71" t="s">
        <v>158</v>
      </c>
      <c r="AG71" s="19"/>
      <c r="AK71" s="70" t="s">
        <v>166</v>
      </c>
      <c r="AL71" s="71">
        <v>3</v>
      </c>
      <c r="AM71" s="40"/>
    </row>
    <row r="72" spans="1:53" ht="27" customHeight="1" x14ac:dyDescent="0.25">
      <c r="A72" s="45" t="s">
        <v>136</v>
      </c>
      <c r="Q72" s="41">
        <v>15</v>
      </c>
      <c r="R72" s="40"/>
      <c r="S72" s="40"/>
      <c r="T72" s="54" t="s">
        <v>137</v>
      </c>
      <c r="U72" s="54">
        <f>Q73-U74</f>
        <v>106339.33952469012</v>
      </c>
      <c r="V72" s="18">
        <v>87.559414990859239</v>
      </c>
      <c r="W72" s="40"/>
      <c r="X72" s="40"/>
      <c r="Y72" s="40"/>
      <c r="Z72" s="40"/>
      <c r="AA72" s="92" t="s">
        <v>114</v>
      </c>
      <c r="AB72">
        <f>U6</f>
        <v>424.92424242424198</v>
      </c>
      <c r="AC72">
        <f>U27</f>
        <v>114.2920517560074</v>
      </c>
      <c r="AD72" s="92">
        <f>U33</f>
        <v>147.43107221006599</v>
      </c>
      <c r="AE72" s="92">
        <f>SUM(AB72:AD77)</f>
        <v>1949.8930820941446</v>
      </c>
      <c r="AF72" s="92">
        <f>COUNT(AB72:AD77)</f>
        <v>12</v>
      </c>
      <c r="AG72" s="19"/>
      <c r="AK72" s="70" t="s">
        <v>167</v>
      </c>
      <c r="AL72" s="71">
        <v>2</v>
      </c>
      <c r="AM72" s="40"/>
      <c r="AN72" s="40"/>
      <c r="AO72" s="54" t="s">
        <v>145</v>
      </c>
      <c r="AP72" s="54">
        <f>AP63-AP67-AP68</f>
        <v>49781.400609953649</v>
      </c>
    </row>
    <row r="73" spans="1:53" ht="22" x14ac:dyDescent="0.25">
      <c r="A73" s="45" t="s">
        <v>161</v>
      </c>
      <c r="Q73" s="41">
        <f>SUMSQ(AB72:AD82)</f>
        <v>453933.27550271072</v>
      </c>
      <c r="R73" s="40"/>
      <c r="S73" s="40"/>
      <c r="T73" s="46"/>
      <c r="U73" s="40"/>
      <c r="V73" s="18">
        <v>95.036630036630044</v>
      </c>
      <c r="W73" s="40"/>
      <c r="X73" s="40"/>
      <c r="Y73" s="40"/>
      <c r="Z73" s="40"/>
      <c r="AA73" s="92"/>
      <c r="AB73">
        <f>U11</f>
        <v>87.559414990859239</v>
      </c>
      <c r="AC73">
        <f>U38</f>
        <v>184.513011152416</v>
      </c>
      <c r="AD73" s="92"/>
      <c r="AE73" s="92"/>
      <c r="AF73" s="92"/>
      <c r="AG73" s="19"/>
      <c r="AM73" s="40"/>
    </row>
    <row r="74" spans="1:53" ht="22" x14ac:dyDescent="0.25">
      <c r="A74" s="45" t="s">
        <v>138</v>
      </c>
      <c r="Q74" s="41">
        <f>SUM(AB72:AD82)</f>
        <v>2283.3985722318189</v>
      </c>
      <c r="R74" s="40"/>
      <c r="S74" s="40"/>
      <c r="T74" s="48" t="s">
        <v>165</v>
      </c>
      <c r="U74" s="41">
        <f>Q74^2/Q72</f>
        <v>347593.9359780206</v>
      </c>
      <c r="V74" s="18">
        <v>213.67155963302753</v>
      </c>
      <c r="W74" s="40"/>
      <c r="X74" s="40"/>
      <c r="Y74" s="40"/>
      <c r="Z74" s="40"/>
      <c r="AA74" s="92"/>
      <c r="AB74">
        <f>U14</f>
        <v>95.036630036630044</v>
      </c>
      <c r="AC74">
        <f>U47</f>
        <v>193.7188679245283</v>
      </c>
      <c r="AD74" s="92"/>
      <c r="AE74" s="92"/>
      <c r="AF74" s="92"/>
      <c r="AG74" s="19"/>
    </row>
    <row r="75" spans="1:53" ht="19" x14ac:dyDescent="0.25">
      <c r="A75" s="46"/>
      <c r="Q75" s="40"/>
      <c r="R75" s="40"/>
      <c r="S75" s="40"/>
      <c r="T75" s="46"/>
      <c r="U75" s="40"/>
      <c r="V75" s="18">
        <v>181.15285451197099</v>
      </c>
      <c r="W75" s="40"/>
      <c r="X75" s="40"/>
      <c r="Y75" s="40"/>
      <c r="Z75" s="40"/>
      <c r="AA75" s="92"/>
      <c r="AB75">
        <f>U16</f>
        <v>213.67155963302753</v>
      </c>
      <c r="AC75">
        <f>U54</f>
        <v>71.568138195777394</v>
      </c>
      <c r="AD75" s="92"/>
      <c r="AE75" s="92"/>
      <c r="AF75" s="92"/>
      <c r="AG75" s="19"/>
    </row>
    <row r="76" spans="1:53" ht="32" x14ac:dyDescent="0.25">
      <c r="A76" s="47" t="s">
        <v>162</v>
      </c>
      <c r="Q76" s="41">
        <f>(AE72^2/AF72)+(AE78^2/AF78)</f>
        <v>353915.55661720695</v>
      </c>
      <c r="R76" s="40"/>
      <c r="S76" s="40"/>
      <c r="T76" s="54" t="s">
        <v>139</v>
      </c>
      <c r="U76" s="54">
        <f>Q76-U74</f>
        <v>6321.6206391863525</v>
      </c>
      <c r="V76" s="18">
        <v>140.51224489795919</v>
      </c>
      <c r="W76" s="40"/>
      <c r="X76" s="40"/>
      <c r="Y76" s="40"/>
      <c r="Z76" s="40"/>
      <c r="AA76" s="92"/>
      <c r="AB76">
        <f>U22</f>
        <v>181.15285451197099</v>
      </c>
      <c r="AC76">
        <f>U61</f>
        <v>104.811881188119</v>
      </c>
      <c r="AD76" s="92"/>
      <c r="AE76" s="92"/>
      <c r="AF76" s="92"/>
      <c r="AG76" s="19"/>
      <c r="AK76" s="72" t="s">
        <v>146</v>
      </c>
      <c r="AL76" s="72" t="s">
        <v>147</v>
      </c>
      <c r="AM76" s="73" t="s">
        <v>148</v>
      </c>
      <c r="AN76" s="73" t="s">
        <v>149</v>
      </c>
      <c r="AO76" s="73" t="s">
        <v>150</v>
      </c>
      <c r="AP76" s="72" t="s">
        <v>152</v>
      </c>
      <c r="AQ76" s="72" t="s">
        <v>151</v>
      </c>
      <c r="AR76" s="72" t="s">
        <v>168</v>
      </c>
      <c r="AS76" s="72" t="s">
        <v>151</v>
      </c>
      <c r="AT76" s="72" t="s">
        <v>169</v>
      </c>
      <c r="AU76" s="72" t="s">
        <v>151</v>
      </c>
      <c r="AV76" s="72" t="s">
        <v>170</v>
      </c>
      <c r="AW76" s="72" t="s">
        <v>151</v>
      </c>
      <c r="AX76" s="72" t="s">
        <v>171</v>
      </c>
      <c r="AY76" s="72" t="s">
        <v>151</v>
      </c>
      <c r="AZ76" s="72" t="s">
        <v>172</v>
      </c>
      <c r="BA76" s="72" t="s">
        <v>151</v>
      </c>
    </row>
    <row r="77" spans="1:53" ht="24" x14ac:dyDescent="0.25">
      <c r="A77" s="47" t="s">
        <v>163</v>
      </c>
      <c r="Q77" s="41">
        <f>(AB83^2/AB84)+(AC83^2/AC84)+(AD83^2/AD84)</f>
        <v>356071.06098562782</v>
      </c>
      <c r="R77" s="40"/>
      <c r="S77" s="40"/>
      <c r="T77" s="54" t="s">
        <v>140</v>
      </c>
      <c r="U77" s="54">
        <f>Q77-U74</f>
        <v>8477.1250076072174</v>
      </c>
      <c r="V77" s="18">
        <v>88.125461254612546</v>
      </c>
      <c r="W77" s="40"/>
      <c r="X77" s="40"/>
      <c r="Y77" s="40"/>
      <c r="Z77" s="40"/>
      <c r="AA77" s="92"/>
      <c r="AB77">
        <f>U34</f>
        <v>131.21335807050093</v>
      </c>
      <c r="AD77" s="92"/>
      <c r="AE77" s="92"/>
      <c r="AF77" s="92"/>
      <c r="AG77" s="19"/>
      <c r="AK77" s="74" t="s">
        <v>153</v>
      </c>
      <c r="AL77" s="75">
        <f>AP67</f>
        <v>-11606.988639755727</v>
      </c>
      <c r="AM77" s="76">
        <f>AL72-1</f>
        <v>1</v>
      </c>
      <c r="AN77" s="75">
        <f>AL77/AM77</f>
        <v>-11606.988639755727</v>
      </c>
      <c r="AO77" s="75">
        <f>AN77/AN79</f>
        <v>-0.46631828343676385</v>
      </c>
      <c r="AP77" s="77">
        <v>2.57</v>
      </c>
      <c r="AQ77" s="77" t="str">
        <f>IF($AP77&gt;$AO77,"REJECT","ACCEPT")</f>
        <v>REJECT</v>
      </c>
      <c r="AR77" s="77">
        <v>3.55</v>
      </c>
      <c r="AS77" s="77" t="str">
        <f>IF($AR77&gt;$AO77,"REJECT","ACCEPT")</f>
        <v>REJECT</v>
      </c>
      <c r="AT77" s="77">
        <v>5.21</v>
      </c>
      <c r="AU77" s="77" t="str">
        <f>IF($AT77&gt;$AO77,"REJECT","ACCEPT")</f>
        <v>REJECT</v>
      </c>
      <c r="AV77" s="77">
        <v>8.5299999999999994</v>
      </c>
      <c r="AW77" s="77" t="str">
        <f>IF($AV77&gt;$AO77,"REJECT","ACCEPT")</f>
        <v>REJECT</v>
      </c>
      <c r="AX77" s="77">
        <v>18.510000000000002</v>
      </c>
      <c r="AY77" s="77" t="str">
        <f>IF($AX77&gt;$AO77,"REJECT","ACCEPT")</f>
        <v>REJECT</v>
      </c>
      <c r="AZ77" s="77">
        <v>38.5</v>
      </c>
      <c r="BA77" s="77" t="str">
        <f>IF($AZ77&gt;$AO77,"REJECT","ACCEPT")</f>
        <v>REJECT</v>
      </c>
    </row>
    <row r="78" spans="1:53" ht="21" customHeight="1" x14ac:dyDescent="0.25">
      <c r="A78" s="46"/>
      <c r="Q78" s="40"/>
      <c r="R78" s="40"/>
      <c r="S78" s="40"/>
      <c r="T78" s="46"/>
      <c r="U78" s="40"/>
      <c r="V78" s="18">
        <v>114.2920517560074</v>
      </c>
      <c r="W78" s="40"/>
      <c r="X78" s="40"/>
      <c r="Y78" s="40"/>
      <c r="Z78" s="40"/>
      <c r="AA78" s="92" t="s">
        <v>115</v>
      </c>
      <c r="AB78" s="92">
        <f>U43</f>
        <v>104.86778398510242</v>
      </c>
      <c r="AC78" s="92">
        <f>U26</f>
        <v>88.125461254612546</v>
      </c>
      <c r="AD78" s="92">
        <f>U25</f>
        <v>140.51224489795919</v>
      </c>
      <c r="AE78" s="92">
        <f>SUM(AB78:AD82)</f>
        <v>333.50549013767414</v>
      </c>
      <c r="AF78" s="92">
        <f>COUNT(AB78:AD82)</f>
        <v>3</v>
      </c>
      <c r="AG78" s="19"/>
      <c r="AK78" s="74" t="s">
        <v>154</v>
      </c>
      <c r="AL78" s="75">
        <f>AP68</f>
        <v>-30383.073298638046</v>
      </c>
      <c r="AM78" s="76">
        <f>AL71-1</f>
        <v>2</v>
      </c>
      <c r="AN78" s="75">
        <f>AL78/AM78</f>
        <v>-15191.536649319023</v>
      </c>
      <c r="AO78" s="75">
        <f>AN78/AN79</f>
        <v>-0.61032982050254003</v>
      </c>
      <c r="AP78" s="77">
        <v>3</v>
      </c>
      <c r="AQ78" s="77" t="str">
        <f>IF($AP78&gt;$AO78,"REJECT","ACCEPT")</f>
        <v>REJECT</v>
      </c>
      <c r="AR78" s="77">
        <v>4</v>
      </c>
      <c r="AS78" s="77" t="str">
        <f>IF($AR78&gt;$AO78,"REJECT","ACCEPT")</f>
        <v>REJECT</v>
      </c>
      <c r="AT78" s="77">
        <v>5.66</v>
      </c>
      <c r="AU78" s="77" t="str">
        <f>IF($AT78&gt;$AO78,"REJECT","ACCEPT")</f>
        <v>REJECT</v>
      </c>
      <c r="AV78" s="77">
        <v>9</v>
      </c>
      <c r="AW78" s="77" t="str">
        <f>IF($AV78&gt;$AO78,"REJECT","ACCEPT")</f>
        <v>REJECT</v>
      </c>
      <c r="AX78" s="77">
        <v>19</v>
      </c>
      <c r="AY78" s="77" t="str">
        <f>IF($AX78&gt;$AO78,"REJECT","ACCEPT")</f>
        <v>REJECT</v>
      </c>
      <c r="AZ78" s="77">
        <v>39</v>
      </c>
      <c r="BA78" s="77" t="str">
        <f>IF($AZ78&gt;$AO78,"REJECT","ACCEPT")</f>
        <v>REJECT</v>
      </c>
    </row>
    <row r="79" spans="1:53" ht="21" customHeight="1" x14ac:dyDescent="0.25">
      <c r="A79" s="48" t="s">
        <v>141</v>
      </c>
      <c r="Q79" s="41">
        <v>3</v>
      </c>
      <c r="R79" s="40"/>
      <c r="S79" s="40"/>
      <c r="T79" s="46"/>
      <c r="U79" s="40"/>
      <c r="V79" s="18">
        <v>184.513011152416</v>
      </c>
      <c r="W79" s="40"/>
      <c r="X79" s="40"/>
      <c r="Y79" s="40"/>
      <c r="Z79" s="40"/>
      <c r="AA79" s="92"/>
      <c r="AB79" s="92"/>
      <c r="AC79" s="92"/>
      <c r="AD79" s="92"/>
      <c r="AE79" s="92"/>
      <c r="AF79" s="92"/>
      <c r="AG79" s="19"/>
      <c r="AK79" s="74" t="s">
        <v>156</v>
      </c>
      <c r="AL79" s="75">
        <f>AP72</f>
        <v>49781.400609953649</v>
      </c>
      <c r="AM79" s="75">
        <f>AM77*AM78</f>
        <v>2</v>
      </c>
      <c r="AN79" s="75">
        <f>AL79/AM79</f>
        <v>24890.700304976825</v>
      </c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</row>
    <row r="80" spans="1:53" ht="21" customHeight="1" x14ac:dyDescent="0.25">
      <c r="A80" s="48" t="s">
        <v>142</v>
      </c>
      <c r="Q80" s="41">
        <v>2</v>
      </c>
      <c r="R80" s="40"/>
      <c r="S80" s="40"/>
      <c r="T80" s="54" t="s">
        <v>144</v>
      </c>
      <c r="U80" s="54">
        <f>((Q82/Q81)-Q76-Q77+U74)</f>
        <v>-63621.126573014422</v>
      </c>
      <c r="V80" s="18"/>
      <c r="W80" s="40"/>
      <c r="X80" s="40"/>
      <c r="Y80" s="40"/>
      <c r="Z80" s="40"/>
      <c r="AA80" s="92"/>
      <c r="AB80" s="92"/>
      <c r="AC80" s="92"/>
      <c r="AD80" s="92"/>
      <c r="AE80" s="92"/>
      <c r="AF80" s="92"/>
      <c r="AG80" s="19"/>
      <c r="AK80" s="74" t="s">
        <v>65</v>
      </c>
      <c r="AL80" s="75">
        <f>AP63</f>
        <v>7791.3386715598754</v>
      </c>
      <c r="AM80" s="76">
        <f>SUM(AM77:AM79)</f>
        <v>5</v>
      </c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</row>
    <row r="81" spans="1:53" ht="21" customHeight="1" thickBot="1" x14ac:dyDescent="0.3">
      <c r="A81" s="48" t="s">
        <v>143</v>
      </c>
      <c r="Q81" s="41">
        <f>Q80*Q79</f>
        <v>6</v>
      </c>
      <c r="R81" s="40"/>
      <c r="S81" s="40"/>
      <c r="T81" s="46"/>
      <c r="U81" s="40"/>
      <c r="V81" s="18"/>
      <c r="W81" s="40"/>
      <c r="X81" s="40"/>
      <c r="Y81" s="40"/>
      <c r="Z81" s="40"/>
      <c r="AA81" s="92"/>
      <c r="AB81" s="92"/>
      <c r="AC81" s="92"/>
      <c r="AD81" s="92"/>
      <c r="AE81" s="92"/>
      <c r="AF81" s="92"/>
      <c r="AG81" s="19"/>
    </row>
    <row r="82" spans="1:53" ht="21" customHeight="1" thickBot="1" x14ac:dyDescent="0.3">
      <c r="A82" s="48" t="s">
        <v>164</v>
      </c>
      <c r="Q82" s="41">
        <f>SUMSQ(SUM(AB72:AB77),SUM(AC72:AC77),SUM(AD72),SUM(AB78),SUM(AC78),SUM(AD78))</f>
        <v>1792629.3303107985</v>
      </c>
      <c r="R82" s="40"/>
      <c r="S82" s="40"/>
      <c r="T82" s="54" t="s">
        <v>145</v>
      </c>
      <c r="U82" s="54">
        <f>U72-U76-U77-U80</f>
        <v>155161.72045091097</v>
      </c>
      <c r="V82" s="18"/>
      <c r="W82" s="40"/>
      <c r="X82" s="40"/>
      <c r="Y82" s="40"/>
      <c r="Z82" s="40"/>
      <c r="AA82" s="92"/>
      <c r="AB82" s="92"/>
      <c r="AC82" s="92"/>
      <c r="AD82" s="92"/>
      <c r="AE82" s="92"/>
      <c r="AF82" s="92"/>
      <c r="AG82" s="19"/>
      <c r="AL82" s="78">
        <v>5954.7285030000003</v>
      </c>
      <c r="AM82" s="78">
        <v>1</v>
      </c>
      <c r="AN82" s="78">
        <v>5954.7285030000003</v>
      </c>
      <c r="AO82" s="78">
        <v>31.425487</v>
      </c>
      <c r="AP82" s="79">
        <v>2.57</v>
      </c>
      <c r="AQ82" s="79" t="str">
        <f>IF(AP82&lt;AO82,"REJECT","ACCEPT")</f>
        <v>REJECT</v>
      </c>
      <c r="AR82" s="79">
        <v>3.55</v>
      </c>
      <c r="AS82" s="79" t="str">
        <f>IF(AR82&lt;AO82,"REJECT","ACCEPT")</f>
        <v>REJECT</v>
      </c>
      <c r="AT82" s="79">
        <v>5.21</v>
      </c>
      <c r="AU82" s="79" t="str">
        <f>IF(AT82&lt;AO82,"REJECT","ACCEPT")</f>
        <v>REJECT</v>
      </c>
      <c r="AV82" s="79">
        <v>8.5299999999999994</v>
      </c>
      <c r="AW82" s="79" t="str">
        <f>IF(AV82&lt;AO82,"REJECT","ACCEPT")</f>
        <v>REJECT</v>
      </c>
      <c r="AX82" s="79">
        <v>18.510000000000002</v>
      </c>
      <c r="AY82" s="79" t="str">
        <f>IF(AX82&lt;AO82,"REJECT","ACCEPT")</f>
        <v>REJECT</v>
      </c>
      <c r="AZ82" s="80">
        <v>38.5</v>
      </c>
      <c r="BA82" s="80" t="str">
        <f>IF(AZ82&lt;AO82,"REJECT","ACCEPT")</f>
        <v>ACCEPT</v>
      </c>
    </row>
    <row r="83" spans="1:53" ht="20" thickBot="1" x14ac:dyDescent="0.3">
      <c r="AA83" t="s">
        <v>159</v>
      </c>
      <c r="AB83">
        <f>SUM(AB72:AB82)</f>
        <v>1238.4258436523332</v>
      </c>
      <c r="AC83">
        <f t="shared" ref="AC83:AD83" si="3">SUM(AC72:AC82)</f>
        <v>757.02941147146055</v>
      </c>
      <c r="AD83">
        <f t="shared" si="3"/>
        <v>287.94331710802521</v>
      </c>
      <c r="AG83" s="19"/>
      <c r="AL83" s="78">
        <v>1457.635708</v>
      </c>
      <c r="AM83" s="78">
        <v>2</v>
      </c>
      <c r="AN83" s="78">
        <v>728.81785379999997</v>
      </c>
      <c r="AO83" s="78">
        <v>3.8462636840000002</v>
      </c>
      <c r="AP83" s="79">
        <v>3</v>
      </c>
      <c r="AQ83" s="79" t="str">
        <f>IF(AO83&gt;AP83,"REJECT","ACCEPT")</f>
        <v>REJECT</v>
      </c>
      <c r="AR83" s="80">
        <v>4</v>
      </c>
      <c r="AS83" s="80" t="str">
        <f>IF(AO83&gt;AR83,"REJECT","ACCEPT")</f>
        <v>ACCEPT</v>
      </c>
      <c r="AT83" s="80">
        <v>5.66</v>
      </c>
      <c r="AU83" s="80" t="s">
        <v>114</v>
      </c>
      <c r="AV83" s="80">
        <v>9</v>
      </c>
      <c r="AW83" s="80" t="s">
        <v>114</v>
      </c>
      <c r="AX83" s="80">
        <v>19</v>
      </c>
      <c r="AY83" s="80" t="s">
        <v>114</v>
      </c>
      <c r="AZ83" s="80">
        <v>39</v>
      </c>
      <c r="BA83" s="80" t="s">
        <v>114</v>
      </c>
    </row>
    <row r="84" spans="1:53" ht="20" thickBot="1" x14ac:dyDescent="0.3">
      <c r="AA84" t="s">
        <v>160</v>
      </c>
      <c r="AB84">
        <f>COUNT(AB72:AB82)</f>
        <v>7</v>
      </c>
      <c r="AC84">
        <f t="shared" ref="AC84:AD84" si="4">COUNT(AC72:AC82)</f>
        <v>6</v>
      </c>
      <c r="AD84">
        <f t="shared" si="4"/>
        <v>2</v>
      </c>
      <c r="AG84" s="19"/>
      <c r="AL84" s="78">
        <v>378.97446129999997</v>
      </c>
      <c r="AM84" s="78">
        <v>2</v>
      </c>
      <c r="AN84" s="78">
        <v>189.4872306</v>
      </c>
      <c r="AO84" s="78"/>
    </row>
    <row r="85" spans="1:53" ht="20" thickBot="1" x14ac:dyDescent="0.3">
      <c r="V85" s="18">
        <v>104.86778398510242</v>
      </c>
      <c r="AA85" s="19"/>
      <c r="AB85" s="19"/>
      <c r="AC85" s="19"/>
      <c r="AD85" s="19"/>
      <c r="AE85" s="19"/>
      <c r="AF85" s="19"/>
      <c r="AG85" s="19"/>
      <c r="AL85" s="78">
        <v>7791.3386719999999</v>
      </c>
      <c r="AM85" s="78">
        <v>5</v>
      </c>
      <c r="AN85" s="78"/>
      <c r="AO85" s="78"/>
    </row>
    <row r="86" spans="1:53" x14ac:dyDescent="0.2">
      <c r="V86" s="18">
        <v>193.7188679245283</v>
      </c>
    </row>
    <row r="87" spans="1:53" ht="76" customHeight="1" x14ac:dyDescent="0.2">
      <c r="AA87" t="s">
        <v>146</v>
      </c>
      <c r="AB87" t="s">
        <v>147</v>
      </c>
      <c r="AC87" t="s">
        <v>148</v>
      </c>
      <c r="AD87" t="s">
        <v>149</v>
      </c>
      <c r="AE87" t="s">
        <v>150</v>
      </c>
      <c r="AF87" t="s">
        <v>173</v>
      </c>
      <c r="AG87" t="s">
        <v>151</v>
      </c>
      <c r="AH87" t="s">
        <v>152</v>
      </c>
      <c r="AI87" t="s">
        <v>151</v>
      </c>
    </row>
    <row r="88" spans="1:53" ht="25" customHeight="1" x14ac:dyDescent="0.2">
      <c r="AA88" t="s">
        <v>153</v>
      </c>
      <c r="AB88">
        <f>U76</f>
        <v>6321.6206391863525</v>
      </c>
      <c r="AC88">
        <f>Q80-1</f>
        <v>1</v>
      </c>
      <c r="AD88">
        <f>AB88/AC88</f>
        <v>6321.6206391863525</v>
      </c>
      <c r="AE88">
        <f>AD88/AD91</f>
        <v>0.36667926591260697</v>
      </c>
      <c r="AF88">
        <v>5.1173550099999998</v>
      </c>
      <c r="AG88" t="str">
        <f>IF(AE88&gt;AF88,"REJECT","ACCEPT")</f>
        <v>ACCEPT</v>
      </c>
      <c r="AH88">
        <v>7.2092832099999997</v>
      </c>
      <c r="AI88" t="str">
        <f>IF(AE88&gt;AH88,"REJECT","ACCEPT")</f>
        <v>ACCEPT</v>
      </c>
    </row>
    <row r="89" spans="1:53" ht="24" customHeight="1" x14ac:dyDescent="0.2">
      <c r="AA89" t="s">
        <v>154</v>
      </c>
      <c r="AB89">
        <f>U77</f>
        <v>8477.1250076072174</v>
      </c>
      <c r="AC89">
        <f>Q79-1</f>
        <v>2</v>
      </c>
      <c r="AD89">
        <f>AB89/AC89</f>
        <v>4238.5625038036087</v>
      </c>
      <c r="AE89">
        <f>AD89/AD91</f>
        <v>0.24585356764138996</v>
      </c>
      <c r="AF89">
        <v>4.25649473</v>
      </c>
      <c r="AG89" t="str">
        <f t="shared" ref="AG89:AG90" si="5">IF(AE89&gt;AF89,"REJECT","ACCEPT")</f>
        <v>ACCEPT</v>
      </c>
      <c r="AH89">
        <v>5.7147053899999998</v>
      </c>
      <c r="AI89" t="str">
        <f t="shared" ref="AI89:AI90" si="6">IF(AE89&gt;AH89,"REJECT","ACCEPT")</f>
        <v>ACCEPT</v>
      </c>
    </row>
    <row r="90" spans="1:53" ht="25" customHeight="1" x14ac:dyDescent="0.2">
      <c r="AA90" t="s">
        <v>155</v>
      </c>
      <c r="AB90">
        <f>U80</f>
        <v>-63621.126573014422</v>
      </c>
      <c r="AC90">
        <f>AC89*AC88</f>
        <v>2</v>
      </c>
      <c r="AD90">
        <f>AB90/AC90</f>
        <v>-31810.563286507211</v>
      </c>
      <c r="AE90">
        <f>AD90/AD91</f>
        <v>-1.8451398240917356</v>
      </c>
      <c r="AF90">
        <v>4.25649473</v>
      </c>
      <c r="AG90" t="str">
        <f t="shared" si="5"/>
        <v>ACCEPT</v>
      </c>
      <c r="AH90">
        <v>5.7147053899999998</v>
      </c>
      <c r="AI90" t="str">
        <f t="shared" si="6"/>
        <v>ACCEPT</v>
      </c>
    </row>
    <row r="91" spans="1:53" ht="25" customHeight="1" x14ac:dyDescent="0.2">
      <c r="AA91" t="s">
        <v>156</v>
      </c>
      <c r="AB91">
        <f>U82</f>
        <v>155161.72045091097</v>
      </c>
      <c r="AC91">
        <f>AC92-AC90-AC89-AC88</f>
        <v>9</v>
      </c>
      <c r="AD91">
        <f>AB91/AC91</f>
        <v>17240.191161212329</v>
      </c>
    </row>
    <row r="92" spans="1:53" ht="27" customHeight="1" x14ac:dyDescent="0.2">
      <c r="AA92" t="s">
        <v>65</v>
      </c>
      <c r="AB92">
        <f>SUM(AB88:AB91)</f>
        <v>106339.33952469012</v>
      </c>
      <c r="AC92">
        <v>14</v>
      </c>
    </row>
  </sheetData>
  <autoFilter ref="A2:R61" xr:uid="{AE828DE2-36B8-8048-A72A-814C1221000E}">
    <filterColumn colId="0" showButton="0">
      <filters>
        <filter val="(In  000)"/>
        <filter val="Ahmedabad"/>
        <filter val="Bengaluru"/>
        <filter val="Chennai"/>
        <filter val="Delhi"/>
        <filter val="Hyderabad"/>
        <filter val="Jaipur"/>
        <filter val="Kolkata"/>
        <filter val="Lucknow"/>
        <filter val="Mumbai"/>
        <filter val="Patna"/>
        <filter val="Thiruvananthapuram"/>
        <filter val="Visakhapatnam"/>
      </filters>
    </filterColumn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</autoFilter>
  <mergeCells count="16">
    <mergeCell ref="AE27:AE32"/>
    <mergeCell ref="AF27:AF32"/>
    <mergeCell ref="A1:R1"/>
    <mergeCell ref="A2:R2"/>
    <mergeCell ref="T67:U67"/>
    <mergeCell ref="AF78:AF82"/>
    <mergeCell ref="AF72:AF77"/>
    <mergeCell ref="AA72:AA77"/>
    <mergeCell ref="Y67:Z67"/>
    <mergeCell ref="AE72:AE77"/>
    <mergeCell ref="AD72:AD77"/>
    <mergeCell ref="AA78:AA82"/>
    <mergeCell ref="AD78:AD82"/>
    <mergeCell ref="AE78:AE82"/>
    <mergeCell ref="AC78:AC82"/>
    <mergeCell ref="AB78:AB8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C26B4-946E-B54B-9985-1879ABA8B2E7}">
  <dimension ref="A1:B44"/>
  <sheetViews>
    <sheetView workbookViewId="0">
      <selection activeCell="E62" sqref="E62"/>
    </sheetView>
  </sheetViews>
  <sheetFormatPr baseColWidth="10" defaultRowHeight="16" x14ac:dyDescent="0.2"/>
  <cols>
    <col min="1" max="1" width="26" customWidth="1"/>
    <col min="10" max="10" width="12.33203125" customWidth="1"/>
  </cols>
  <sheetData>
    <row r="1" spans="1:2" ht="21" customHeight="1" x14ac:dyDescent="0.2">
      <c r="A1" s="15" t="s">
        <v>18</v>
      </c>
      <c r="B1" s="9">
        <v>84557</v>
      </c>
    </row>
    <row r="2" spans="1:2" x14ac:dyDescent="0.2">
      <c r="A2" s="15" t="s">
        <v>19</v>
      </c>
      <c r="B2" s="9">
        <v>634533</v>
      </c>
    </row>
    <row r="3" spans="1:2" x14ac:dyDescent="0.2">
      <c r="A3" s="15" t="s">
        <v>21</v>
      </c>
      <c r="B3" s="9">
        <v>15125</v>
      </c>
    </row>
    <row r="4" spans="1:2" x14ac:dyDescent="0.2">
      <c r="A4" s="15" t="s">
        <v>22</v>
      </c>
      <c r="B4" s="9">
        <v>31917</v>
      </c>
    </row>
    <row r="5" spans="1:2" ht="19" customHeight="1" x14ac:dyDescent="0.2">
      <c r="A5" s="15" t="s">
        <v>25</v>
      </c>
      <c r="B5" s="9">
        <v>28576</v>
      </c>
    </row>
    <row r="6" spans="1:2" x14ac:dyDescent="0.2">
      <c r="A6" s="15" t="s">
        <v>26</v>
      </c>
      <c r="B6" s="9">
        <v>1321815</v>
      </c>
    </row>
    <row r="7" spans="1:2" x14ac:dyDescent="0.2">
      <c r="A7" s="15" t="s">
        <v>27</v>
      </c>
      <c r="B7" s="9">
        <v>169138</v>
      </c>
    </row>
    <row r="8" spans="1:2" x14ac:dyDescent="0.2">
      <c r="A8" s="15" t="s">
        <v>28</v>
      </c>
      <c r="B8" s="9">
        <v>469672</v>
      </c>
    </row>
    <row r="9" spans="1:2" x14ac:dyDescent="0.2">
      <c r="A9" s="15" t="s">
        <v>29</v>
      </c>
      <c r="B9" s="9">
        <v>920473</v>
      </c>
    </row>
    <row r="10" spans="1:2" x14ac:dyDescent="0.2">
      <c r="A10" s="15" t="s">
        <v>30</v>
      </c>
      <c r="B10" s="9">
        <v>254639</v>
      </c>
    </row>
    <row r="11" spans="1:2" ht="18" customHeight="1" x14ac:dyDescent="0.2">
      <c r="A11" s="15" t="s">
        <v>31</v>
      </c>
      <c r="B11" s="9">
        <v>3061817</v>
      </c>
    </row>
    <row r="12" spans="1:2" ht="22" customHeight="1" x14ac:dyDescent="0.2">
      <c r="A12" s="15" t="s">
        <v>32</v>
      </c>
      <c r="B12" s="9">
        <v>69176</v>
      </c>
    </row>
    <row r="13" spans="1:2" x14ac:dyDescent="0.2">
      <c r="A13" s="15" t="s">
        <v>33</v>
      </c>
      <c r="B13" s="9">
        <v>58788</v>
      </c>
    </row>
    <row r="14" spans="1:2" x14ac:dyDescent="0.2">
      <c r="A14" s="15" t="s">
        <v>34</v>
      </c>
      <c r="B14" s="9">
        <v>186784</v>
      </c>
    </row>
    <row r="15" spans="1:2" x14ac:dyDescent="0.2">
      <c r="A15" s="15" t="s">
        <v>35</v>
      </c>
      <c r="B15" s="9">
        <v>911856</v>
      </c>
    </row>
    <row r="16" spans="1:2" x14ac:dyDescent="0.2">
      <c r="A16" s="15" t="s">
        <v>36</v>
      </c>
      <c r="B16" s="9">
        <v>436231</v>
      </c>
    </row>
    <row r="17" spans="1:2" x14ac:dyDescent="0.2">
      <c r="A17" s="15" t="s">
        <v>37</v>
      </c>
      <c r="B17" s="9">
        <v>255835</v>
      </c>
    </row>
    <row r="18" spans="1:2" x14ac:dyDescent="0.2">
      <c r="A18" s="15" t="s">
        <v>38</v>
      </c>
      <c r="B18" s="9">
        <v>362256</v>
      </c>
    </row>
    <row r="19" spans="1:2" x14ac:dyDescent="0.2">
      <c r="A19" s="15" t="s">
        <v>39</v>
      </c>
      <c r="B19" s="9">
        <v>28435</v>
      </c>
    </row>
    <row r="20" spans="1:2" x14ac:dyDescent="0.2">
      <c r="A20" s="15" t="s">
        <v>40</v>
      </c>
      <c r="B20" s="9">
        <v>76297</v>
      </c>
    </row>
    <row r="21" spans="1:2" x14ac:dyDescent="0.2">
      <c r="A21" s="15" t="s">
        <v>41</v>
      </c>
      <c r="B21" s="9">
        <v>54588</v>
      </c>
    </row>
    <row r="22" spans="1:2" x14ac:dyDescent="0.2">
      <c r="A22" s="15" t="s">
        <v>42</v>
      </c>
      <c r="B22" s="9">
        <v>170475</v>
      </c>
    </row>
    <row r="23" spans="1:2" x14ac:dyDescent="0.2">
      <c r="A23" s="15" t="s">
        <v>43</v>
      </c>
      <c r="B23" s="9">
        <v>353373</v>
      </c>
    </row>
    <row r="24" spans="1:2" x14ac:dyDescent="0.2">
      <c r="A24" s="15" t="s">
        <v>46</v>
      </c>
      <c r="B24" s="9">
        <v>59497</v>
      </c>
    </row>
    <row r="25" spans="1:2" x14ac:dyDescent="0.2">
      <c r="A25" s="15" t="s">
        <v>47</v>
      </c>
      <c r="B25" s="9">
        <v>274853</v>
      </c>
    </row>
    <row r="26" spans="1:2" x14ac:dyDescent="0.2">
      <c r="A26" s="15" t="s">
        <v>48</v>
      </c>
      <c r="B26" s="9">
        <v>76439</v>
      </c>
    </row>
    <row r="27" spans="1:2" x14ac:dyDescent="0.2">
      <c r="A27" s="15" t="s">
        <v>49</v>
      </c>
      <c r="B27" s="9">
        <v>70037</v>
      </c>
    </row>
    <row r="28" spans="1:2" x14ac:dyDescent="0.2">
      <c r="A28" s="15" t="s">
        <v>50</v>
      </c>
      <c r="B28" s="9">
        <v>81269</v>
      </c>
    </row>
    <row r="29" spans="1:2" x14ac:dyDescent="0.2">
      <c r="A29" s="15" t="s">
        <v>51</v>
      </c>
      <c r="B29" s="9">
        <v>131529</v>
      </c>
    </row>
    <row r="30" spans="1:2" x14ac:dyDescent="0.2">
      <c r="A30" s="15" t="s">
        <v>52</v>
      </c>
      <c r="B30" s="9">
        <v>73231</v>
      </c>
    </row>
    <row r="31" spans="1:2" x14ac:dyDescent="0.2">
      <c r="A31" s="15" t="s">
        <v>53</v>
      </c>
      <c r="B31" s="9">
        <v>41063</v>
      </c>
    </row>
    <row r="32" spans="1:2" x14ac:dyDescent="0.2">
      <c r="A32" s="15" t="s">
        <v>54</v>
      </c>
      <c r="B32" s="9">
        <v>168191</v>
      </c>
    </row>
    <row r="33" spans="1:2" x14ac:dyDescent="0.2">
      <c r="A33" s="15" t="s">
        <v>55</v>
      </c>
      <c r="B33" s="9">
        <v>439922</v>
      </c>
    </row>
    <row r="34" spans="1:2" x14ac:dyDescent="0.2">
      <c r="A34" s="15" t="s">
        <v>56</v>
      </c>
      <c r="B34" s="9">
        <v>102256</v>
      </c>
    </row>
    <row r="35" spans="1:2" x14ac:dyDescent="0.2">
      <c r="A35" s="15" t="s">
        <v>57</v>
      </c>
      <c r="B35" s="9">
        <v>195137</v>
      </c>
    </row>
    <row r="36" spans="1:2" x14ac:dyDescent="0.2">
      <c r="A36" s="15" t="s">
        <v>58</v>
      </c>
      <c r="B36" s="9">
        <v>127947</v>
      </c>
    </row>
    <row r="37" spans="1:2" x14ac:dyDescent="0.2">
      <c r="A37" s="15" t="s">
        <v>59</v>
      </c>
      <c r="B37" s="9">
        <v>97207</v>
      </c>
    </row>
    <row r="38" spans="1:2" x14ac:dyDescent="0.2">
      <c r="A38" s="15" t="s">
        <v>60</v>
      </c>
      <c r="B38" s="9">
        <v>381729</v>
      </c>
    </row>
    <row r="39" spans="1:2" x14ac:dyDescent="0.2">
      <c r="A39" s="15" t="s">
        <v>61</v>
      </c>
      <c r="B39" s="9">
        <v>64779</v>
      </c>
    </row>
    <row r="40" spans="1:2" x14ac:dyDescent="0.2">
      <c r="A40" s="15" t="s">
        <v>62</v>
      </c>
      <c r="B40" s="9">
        <v>238709</v>
      </c>
    </row>
    <row r="41" spans="1:2" x14ac:dyDescent="0.2">
      <c r="A41" s="15" t="s">
        <v>63</v>
      </c>
      <c r="B41" s="9">
        <v>59834</v>
      </c>
    </row>
    <row r="42" spans="1:2" x14ac:dyDescent="0.2">
      <c r="A42" s="15" t="s">
        <v>64</v>
      </c>
      <c r="B42" s="9">
        <v>249216</v>
      </c>
    </row>
    <row r="43" spans="1:2" x14ac:dyDescent="0.2">
      <c r="A43" s="16" t="s">
        <v>65</v>
      </c>
      <c r="B43" s="12">
        <v>12889201</v>
      </c>
    </row>
    <row r="44" spans="1:2" x14ac:dyDescent="0.2">
      <c r="A44" s="16" t="s">
        <v>66</v>
      </c>
      <c r="B44" s="12">
        <v>19.16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(2)</vt:lpstr>
      <vt:lpstr>Car Data ANOVA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2021-03-17T11:03:55Z</dcterms:created>
  <dcterms:modified xsi:type="dcterms:W3CDTF">2021-04-07T10:10:49Z</dcterms:modified>
</cp:coreProperties>
</file>