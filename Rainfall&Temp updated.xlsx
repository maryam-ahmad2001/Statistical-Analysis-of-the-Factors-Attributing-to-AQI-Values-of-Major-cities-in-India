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NMIMS\YEAR 2\SEMESTER 4\PROJECT\"/>
    </mc:Choice>
  </mc:AlternateContent>
  <xr:revisionPtr revIDLastSave="0" documentId="13_ncr:1_{329720E2-22D6-443C-9FEA-01D84CF7EEC1}" xr6:coauthVersionLast="46" xr6:coauthVersionMax="46" xr10:uidLastSave="{00000000-0000-0000-0000-000000000000}"/>
  <bookViews>
    <workbookView xWindow="-110" yWindow="-110" windowWidth="19420" windowHeight="10420" xr2:uid="{F0E7EC31-84F6-4B34-8301-0A00CEE42FB4}"/>
  </bookViews>
  <sheets>
    <sheet name="Sheet1" sheetId="1" r:id="rId1"/>
  </sheets>
  <definedNames>
    <definedName name="_xlnm._FilterDatabase" localSheetId="0" hidden="1">Sheet1!$A$1:$F$16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6" i="1" l="1"/>
  <c r="U65" i="1"/>
  <c r="Q66" i="1"/>
  <c r="Q65" i="1"/>
  <c r="O66" i="1"/>
  <c r="O65" i="1"/>
  <c r="M66" i="1"/>
  <c r="M65" i="1"/>
  <c r="S66" i="1"/>
  <c r="S65" i="1"/>
  <c r="K66" i="1"/>
  <c r="K65" i="1"/>
  <c r="M59" i="1"/>
  <c r="L62" i="1"/>
  <c r="L61" i="1"/>
  <c r="L60" i="1"/>
  <c r="L59" i="1"/>
  <c r="K51" i="1"/>
  <c r="K50" i="1"/>
  <c r="K61" i="1"/>
  <c r="K59" i="1"/>
  <c r="K60" i="1"/>
  <c r="N30" i="1"/>
  <c r="L30" i="1"/>
  <c r="M30" i="1"/>
  <c r="K30" i="1"/>
  <c r="K32" i="1" s="1"/>
  <c r="L29" i="1"/>
  <c r="L31" i="1" s="1"/>
  <c r="M29" i="1"/>
  <c r="M31" i="1" s="1"/>
  <c r="K29" i="1"/>
  <c r="K42" i="1" s="1"/>
  <c r="D52" i="1"/>
  <c r="D5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D44" i="1"/>
  <c r="G44" i="1" s="1"/>
  <c r="D43" i="1"/>
  <c r="G42" i="1" s="1"/>
  <c r="F32" i="1"/>
  <c r="F29" i="1"/>
  <c r="D46" i="1" s="1"/>
  <c r="G46" i="1" s="1"/>
  <c r="G32" i="1"/>
  <c r="G29" i="1"/>
  <c r="D38" i="1"/>
  <c r="E38" i="1"/>
  <c r="C38" i="1"/>
  <c r="D47" i="1" s="1"/>
  <c r="G47" i="1" s="1"/>
  <c r="D37" i="1"/>
  <c r="E37" i="1"/>
  <c r="C3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19" i="1"/>
  <c r="D18" i="1"/>
  <c r="B19" i="1"/>
  <c r="B18" i="1"/>
  <c r="M61" i="1" l="1"/>
  <c r="M60" i="1"/>
  <c r="K43" i="1"/>
  <c r="O29" i="1"/>
  <c r="O30" i="1"/>
  <c r="N29" i="1"/>
  <c r="K46" i="1" s="1"/>
  <c r="G52" i="1"/>
  <c r="K31" i="1"/>
  <c r="K47" i="1" s="1"/>
  <c r="M32" i="1"/>
  <c r="L32" i="1"/>
  <c r="K44" i="1"/>
  <c r="N44" i="1" s="1"/>
  <c r="G54" i="1"/>
  <c r="F14" i="1"/>
  <c r="F6" i="1"/>
  <c r="F12" i="1"/>
  <c r="F4" i="1"/>
  <c r="F11" i="1"/>
  <c r="F3" i="1"/>
  <c r="F15" i="1"/>
  <c r="F7" i="1"/>
  <c r="F2" i="1"/>
  <c r="F10" i="1"/>
  <c r="F13" i="1"/>
  <c r="F5" i="1"/>
  <c r="F9" i="1"/>
  <c r="F16" i="1"/>
  <c r="F8" i="1"/>
  <c r="N59" i="1" l="1"/>
  <c r="N47" i="1"/>
  <c r="N46" i="1"/>
  <c r="N60" i="1"/>
  <c r="N42" i="1"/>
  <c r="N52" i="1" s="1"/>
  <c r="K62" i="1"/>
</calcChain>
</file>

<file path=xl/sharedStrings.xml><?xml version="1.0" encoding="utf-8"?>
<sst xmlns="http://schemas.openxmlformats.org/spreadsheetml/2006/main" count="101" uniqueCount="83">
  <si>
    <t>City</t>
  </si>
  <si>
    <t>Ahmedabad</t>
  </si>
  <si>
    <t>Bangalore</t>
  </si>
  <si>
    <t>Chennai</t>
  </si>
  <si>
    <t>Delhi</t>
  </si>
  <si>
    <t>Gurugram</t>
  </si>
  <si>
    <t>Guwahati</t>
  </si>
  <si>
    <t>Hyderabad</t>
  </si>
  <si>
    <t>Jaipur</t>
  </si>
  <si>
    <t>Jorapokhar</t>
  </si>
  <si>
    <t>Kolkata</t>
  </si>
  <si>
    <t>Lucknow</t>
  </si>
  <si>
    <t>Mumbai</t>
  </si>
  <si>
    <t>Patna</t>
  </si>
  <si>
    <t>Thiruvananthapuram</t>
  </si>
  <si>
    <t>Vishakhapatnam</t>
  </si>
  <si>
    <t>Category</t>
  </si>
  <si>
    <t>Max Rainfall</t>
  </si>
  <si>
    <t>A</t>
  </si>
  <si>
    <t>B</t>
  </si>
  <si>
    <t>P</t>
  </si>
  <si>
    <t>Q</t>
  </si>
  <si>
    <t>R</t>
  </si>
  <si>
    <t>1-10</t>
  </si>
  <si>
    <t>10-15</t>
  </si>
  <si>
    <t>15-25</t>
  </si>
  <si>
    <t>28-32</t>
  </si>
  <si>
    <t>Mean AQI</t>
  </si>
  <si>
    <t>Mean Temp</t>
  </si>
  <si>
    <t>Cell Value</t>
  </si>
  <si>
    <t>p</t>
  </si>
  <si>
    <t>N</t>
  </si>
  <si>
    <t>G</t>
  </si>
  <si>
    <t>TSS</t>
  </si>
  <si>
    <t>SST</t>
  </si>
  <si>
    <t>q</t>
  </si>
  <si>
    <t>SSB</t>
  </si>
  <si>
    <t>SSTB</t>
  </si>
  <si>
    <t xml:space="preserve">SSE </t>
  </si>
  <si>
    <t>AQI^2</t>
  </si>
  <si>
    <t>SOURCE OF
VARIATION</t>
  </si>
  <si>
    <t>SUM OF 
SQUARES</t>
  </si>
  <si>
    <t>DF</t>
  </si>
  <si>
    <t>MS</t>
  </si>
  <si>
    <t>F VALUE</t>
  </si>
  <si>
    <t>Treatment</t>
  </si>
  <si>
    <t>Block</t>
  </si>
  <si>
    <t>Error</t>
  </si>
  <si>
    <t>Total</t>
  </si>
  <si>
    <t>pq</t>
  </si>
  <si>
    <t>Accept / 
Reject</t>
  </si>
  <si>
    <r>
      <rPr>
        <b/>
        <sz val="11"/>
        <color theme="1"/>
        <rFont val="Calibri"/>
        <family val="2"/>
      </rPr>
      <t>∑</t>
    </r>
    <r>
      <rPr>
        <b/>
        <sz val="11"/>
        <color theme="1"/>
        <rFont val="Calibri"/>
        <family val="2"/>
        <scheme val="minor"/>
      </rPr>
      <t>y</t>
    </r>
    <r>
      <rPr>
        <b/>
        <vertAlign val="subscript"/>
        <sz val="11"/>
        <color theme="1"/>
        <rFont val="Calibri"/>
        <family val="2"/>
        <scheme val="minor"/>
      </rPr>
      <t>ijk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</si>
  <si>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rPr>
        <b/>
        <sz val="11"/>
        <color theme="1"/>
        <rFont val="Calibri"/>
        <family val="2"/>
      </rPr>
      <t>∑T</t>
    </r>
    <r>
      <rPr>
        <b/>
        <vertAlign val="subscript"/>
        <sz val="11"/>
        <color theme="1"/>
        <rFont val="Calibri"/>
        <family val="2"/>
        <scheme val="minor"/>
      </rPr>
      <t>i.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/ m</t>
    </r>
    <r>
      <rPr>
        <b/>
        <vertAlign val="subscript"/>
        <sz val="11"/>
        <color theme="1"/>
        <rFont val="Calibri"/>
        <family val="2"/>
        <scheme val="minor"/>
      </rPr>
      <t>i.</t>
    </r>
  </si>
  <si>
    <r>
      <rPr>
        <b/>
        <sz val="11"/>
        <color theme="1"/>
        <rFont val="Calibri"/>
        <family val="2"/>
      </rPr>
      <t>∑T</t>
    </r>
    <r>
      <rPr>
        <b/>
        <vertAlign val="subscript"/>
        <sz val="11"/>
        <color theme="1"/>
        <rFont val="Calibri"/>
        <family val="2"/>
      </rPr>
      <t>.j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/ m</t>
    </r>
    <r>
      <rPr>
        <b/>
        <vertAlign val="subscript"/>
        <sz val="11"/>
        <color theme="1"/>
        <rFont val="Calibri"/>
        <family val="2"/>
        <scheme val="minor"/>
      </rPr>
      <t>.j</t>
    </r>
  </si>
  <si>
    <r>
      <t>G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/N</t>
    </r>
  </si>
  <si>
    <r>
      <t>F TABULATED
(</t>
    </r>
    <r>
      <rPr>
        <b/>
        <sz val="11"/>
        <color theme="1"/>
        <rFont val="Calibri Light"/>
        <family val="2"/>
      </rPr>
      <t>α</t>
    </r>
    <r>
      <rPr>
        <b/>
        <sz val="11"/>
        <color theme="1"/>
        <rFont val="Calibri"/>
        <family val="2"/>
        <scheme val="minor"/>
      </rPr>
      <t xml:space="preserve"> = 0.05)</t>
    </r>
  </si>
  <si>
    <t>F TABULATED
(α = 0.25)</t>
  </si>
  <si>
    <r>
      <t>T</t>
    </r>
    <r>
      <rPr>
        <b/>
        <vertAlign val="subscript"/>
        <sz val="16"/>
        <color theme="1"/>
        <rFont val="Calibri"/>
        <family val="2"/>
        <scheme val="minor"/>
      </rPr>
      <t>i.</t>
    </r>
  </si>
  <si>
    <r>
      <t>T</t>
    </r>
    <r>
      <rPr>
        <b/>
        <vertAlign val="subscript"/>
        <sz val="16"/>
        <color theme="1"/>
        <rFont val="Calibri"/>
        <family val="2"/>
        <scheme val="minor"/>
      </rPr>
      <t>.j</t>
    </r>
  </si>
  <si>
    <t>Low</t>
  </si>
  <si>
    <t>Moderate</t>
  </si>
  <si>
    <t>High</t>
  </si>
  <si>
    <t>MEAN TEMPERATURE</t>
  </si>
  <si>
    <t>MAX RAINFALL</t>
  </si>
  <si>
    <r>
      <t>n</t>
    </r>
    <r>
      <rPr>
        <b/>
        <vertAlign val="subscript"/>
        <sz val="16"/>
        <color theme="1"/>
        <rFont val="Calibri"/>
        <family val="2"/>
        <scheme val="minor"/>
      </rPr>
      <t>i.</t>
    </r>
  </si>
  <si>
    <r>
      <t>n</t>
    </r>
    <r>
      <rPr>
        <b/>
        <vertAlign val="subscript"/>
        <sz val="16"/>
        <color theme="1"/>
        <rFont val="Calibri"/>
        <family val="2"/>
        <scheme val="minor"/>
      </rPr>
      <t>.i</t>
    </r>
  </si>
  <si>
    <t>SSE</t>
  </si>
  <si>
    <t>h</t>
  </si>
  <si>
    <t>k</t>
  </si>
  <si>
    <r>
      <t>F TABULATED
(</t>
    </r>
    <r>
      <rPr>
        <b/>
        <sz val="11"/>
        <color theme="1"/>
        <rFont val="Calibri Light"/>
        <family val="2"/>
      </rPr>
      <t>α</t>
    </r>
    <r>
      <rPr>
        <b/>
        <sz val="11"/>
        <color theme="1"/>
        <rFont val="Calibri"/>
        <family val="2"/>
        <scheme val="minor"/>
      </rPr>
      <t xml:space="preserve"> = 0.1)</t>
    </r>
  </si>
  <si>
    <r>
      <t>F TABULATED
(</t>
    </r>
    <r>
      <rPr>
        <b/>
        <sz val="11"/>
        <color theme="1"/>
        <rFont val="Calibri Light"/>
        <family val="2"/>
      </rPr>
      <t>α</t>
    </r>
    <r>
      <rPr>
        <b/>
        <sz val="11"/>
        <color theme="1"/>
        <rFont val="Calibri"/>
        <family val="2"/>
        <scheme val="minor"/>
      </rPr>
      <t xml:space="preserve"> = 0.20)</t>
    </r>
  </si>
  <si>
    <r>
      <t>F TABULATED
(</t>
    </r>
    <r>
      <rPr>
        <b/>
        <sz val="11"/>
        <color theme="1"/>
        <rFont val="Calibri Light"/>
        <family val="2"/>
      </rPr>
      <t>α</t>
    </r>
    <r>
      <rPr>
        <b/>
        <sz val="11"/>
        <color theme="1"/>
        <rFont val="Calibri"/>
        <family val="2"/>
        <scheme val="minor"/>
      </rPr>
      <t xml:space="preserve"> = 0.15)</t>
    </r>
  </si>
  <si>
    <r>
      <t>F TABULATED
(</t>
    </r>
    <r>
      <rPr>
        <b/>
        <sz val="11"/>
        <color theme="1"/>
        <rFont val="Calibri Light"/>
        <family val="2"/>
      </rPr>
      <t>α</t>
    </r>
    <r>
      <rPr>
        <b/>
        <sz val="11"/>
        <color theme="1"/>
        <rFont val="Calibri"/>
        <family val="2"/>
        <scheme val="minor"/>
      </rPr>
      <t xml:space="preserve"> = 0.025)</t>
    </r>
  </si>
  <si>
    <r>
      <t>T</t>
    </r>
    <r>
      <rPr>
        <b/>
        <vertAlign val="subscript"/>
        <sz val="16"/>
        <color rgb="FFFF0000"/>
        <rFont val="Calibri"/>
        <family val="2"/>
        <scheme val="minor"/>
      </rPr>
      <t>i.</t>
    </r>
  </si>
  <si>
    <r>
      <t>m</t>
    </r>
    <r>
      <rPr>
        <b/>
        <vertAlign val="subscript"/>
        <sz val="16"/>
        <color rgb="FFFF0000"/>
        <rFont val="Calibri"/>
        <family val="2"/>
        <scheme val="minor"/>
      </rPr>
      <t>i.</t>
    </r>
  </si>
  <si>
    <r>
      <rPr>
        <b/>
        <sz val="11"/>
        <color rgb="FFFF0000"/>
        <rFont val="Calibri"/>
        <family val="2"/>
      </rPr>
      <t>∑</t>
    </r>
    <r>
      <rPr>
        <b/>
        <sz val="11"/>
        <color rgb="FFFF0000"/>
        <rFont val="Calibri"/>
        <family val="2"/>
        <scheme val="minor"/>
      </rPr>
      <t>y</t>
    </r>
    <r>
      <rPr>
        <b/>
        <vertAlign val="subscript"/>
        <sz val="11"/>
        <color rgb="FFFF0000"/>
        <rFont val="Calibri"/>
        <family val="2"/>
        <scheme val="minor"/>
      </rPr>
      <t>ijk</t>
    </r>
    <r>
      <rPr>
        <b/>
        <vertAlign val="superscript"/>
        <sz val="11"/>
        <color rgb="FFFF0000"/>
        <rFont val="Calibri"/>
        <family val="2"/>
        <scheme val="minor"/>
      </rPr>
      <t>2</t>
    </r>
  </si>
  <si>
    <r>
      <t>G</t>
    </r>
    <r>
      <rPr>
        <b/>
        <vertAlign val="superscript"/>
        <sz val="11"/>
        <color rgb="FFFF0000"/>
        <rFont val="Calibri"/>
        <family val="2"/>
        <scheme val="minor"/>
      </rPr>
      <t>2</t>
    </r>
    <r>
      <rPr>
        <b/>
        <sz val="11"/>
        <color rgb="FFFF0000"/>
        <rFont val="Calibri"/>
        <family val="2"/>
        <scheme val="minor"/>
      </rPr>
      <t>/N</t>
    </r>
  </si>
  <si>
    <r>
      <rPr>
        <b/>
        <sz val="11"/>
        <color rgb="FFFF0000"/>
        <rFont val="Calibri"/>
        <family val="2"/>
      </rPr>
      <t>∑T</t>
    </r>
    <r>
      <rPr>
        <b/>
        <vertAlign val="subscript"/>
        <sz val="11"/>
        <color rgb="FFFF0000"/>
        <rFont val="Calibri"/>
        <family val="2"/>
        <scheme val="minor"/>
      </rPr>
      <t>i.</t>
    </r>
    <r>
      <rPr>
        <b/>
        <vertAlign val="superscript"/>
        <sz val="11"/>
        <color rgb="FFFF0000"/>
        <rFont val="Calibri"/>
        <family val="2"/>
        <scheme val="minor"/>
      </rPr>
      <t xml:space="preserve">2 </t>
    </r>
    <r>
      <rPr>
        <b/>
        <sz val="11"/>
        <color rgb="FFFF0000"/>
        <rFont val="Calibri"/>
        <family val="2"/>
        <scheme val="minor"/>
      </rPr>
      <t>/ m</t>
    </r>
    <r>
      <rPr>
        <b/>
        <vertAlign val="subscript"/>
        <sz val="11"/>
        <color rgb="FFFF0000"/>
        <rFont val="Calibri"/>
        <family val="2"/>
        <scheme val="minor"/>
      </rPr>
      <t>i.</t>
    </r>
  </si>
  <si>
    <r>
      <rPr>
        <b/>
        <sz val="11"/>
        <color rgb="FFFF0000"/>
        <rFont val="Calibri"/>
        <family val="2"/>
      </rPr>
      <t>∑T</t>
    </r>
    <r>
      <rPr>
        <b/>
        <vertAlign val="subscript"/>
        <sz val="11"/>
        <color rgb="FFFF0000"/>
        <rFont val="Calibri"/>
        <family val="2"/>
      </rPr>
      <t>.j</t>
    </r>
    <r>
      <rPr>
        <b/>
        <vertAlign val="superscript"/>
        <sz val="11"/>
        <color rgb="FFFF0000"/>
        <rFont val="Calibri"/>
        <family val="2"/>
        <scheme val="minor"/>
      </rPr>
      <t xml:space="preserve">2 </t>
    </r>
    <r>
      <rPr>
        <b/>
        <sz val="11"/>
        <color rgb="FFFF0000"/>
        <rFont val="Calibri"/>
        <family val="2"/>
        <scheme val="minor"/>
      </rPr>
      <t>/ m</t>
    </r>
    <r>
      <rPr>
        <b/>
        <vertAlign val="subscript"/>
        <sz val="11"/>
        <color rgb="FFFF0000"/>
        <rFont val="Calibri"/>
        <family val="2"/>
        <scheme val="minor"/>
      </rPr>
      <t>.j</t>
    </r>
  </si>
  <si>
    <r>
      <rPr>
        <b/>
        <sz val="11"/>
        <color rgb="FFFF0000"/>
        <rFont val="Calibri"/>
        <family val="2"/>
      </rPr>
      <t>∑T</t>
    </r>
    <r>
      <rPr>
        <b/>
        <vertAlign val="subscript"/>
        <sz val="11"/>
        <color rgb="FFFF0000"/>
        <rFont val="Calibri"/>
        <family val="2"/>
        <scheme val="minor"/>
      </rPr>
      <t>ij</t>
    </r>
    <r>
      <rPr>
        <b/>
        <vertAlign val="superscript"/>
        <sz val="11"/>
        <color rgb="FFFF0000"/>
        <rFont val="Calibri"/>
        <family val="2"/>
        <scheme val="minor"/>
      </rPr>
      <t>2</t>
    </r>
  </si>
  <si>
    <r>
      <t>T</t>
    </r>
    <r>
      <rPr>
        <b/>
        <vertAlign val="subscript"/>
        <sz val="16"/>
        <color rgb="FFFF0000"/>
        <rFont val="Calibri"/>
        <family val="2"/>
        <scheme val="minor"/>
      </rPr>
      <t>.j</t>
    </r>
  </si>
  <si>
    <r>
      <t>m</t>
    </r>
    <r>
      <rPr>
        <b/>
        <vertAlign val="subscript"/>
        <sz val="16"/>
        <color rgb="FFFF0000"/>
        <rFont val="Calibri"/>
        <family val="2"/>
        <scheme val="minor"/>
      </rPr>
      <t>.i</t>
    </r>
  </si>
  <si>
    <t>32-35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</si>
</sst>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 Light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vertAlign val="subscript"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vertAlign val="subscript"/>
      <sz val="11"/>
      <color rgb="FFFF0000"/>
      <name val="Calibri"/>
      <family val="2"/>
      <scheme val="minor"/>
    </font>
    <font>
      <b/>
      <vertAlign val="superscript"/>
      <sz val="11"/>
      <color rgb="FFFF0000"/>
      <name val="Calibri"/>
      <family val="2"/>
      <scheme val="minor"/>
    </font>
    <font>
      <b/>
      <vertAlign val="subscript"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0" fillId="0" borderId="0" xfId="0" quotePrefix="1"/>
    <xf numFmtId="0" fontId="0" fillId="0" borderId="1" xfId="0" applyBorder="1"/>
    <xf numFmtId="0" fontId="1" fillId="0" borderId="1" xfId="1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7" borderId="1" xfId="0" applyFont="1" applyFill="1" applyBorder="1"/>
    <xf numFmtId="0" fontId="7" fillId="7" borderId="1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16" fontId="2" fillId="3" borderId="1" xfId="0" quotePrefix="1" applyNumberFormat="1" applyFont="1" applyFill="1" applyBorder="1"/>
    <xf numFmtId="0" fontId="2" fillId="3" borderId="1" xfId="0" applyFont="1" applyFill="1" applyBorder="1"/>
    <xf numFmtId="0" fontId="2" fillId="4" borderId="1" xfId="0" quotePrefix="1" applyFont="1" applyFill="1" applyBorder="1"/>
    <xf numFmtId="0" fontId="2" fillId="4" borderId="1" xfId="0" applyFont="1" applyFill="1" applyBorder="1"/>
    <xf numFmtId="0" fontId="2" fillId="5" borderId="1" xfId="0" quotePrefix="1" applyFont="1" applyFill="1" applyBorder="1"/>
    <xf numFmtId="0" fontId="2" fillId="5" borderId="1" xfId="0" applyFont="1" applyFill="1" applyBorder="1"/>
    <xf numFmtId="0" fontId="0" fillId="0" borderId="0" xfId="0" applyFont="1"/>
    <xf numFmtId="2" fontId="10" fillId="0" borderId="0" xfId="0" applyNumberFormat="1" applyFont="1"/>
    <xf numFmtId="0" fontId="10" fillId="0" borderId="0" xfId="0" applyFont="1"/>
    <xf numFmtId="0" fontId="11" fillId="2" borderId="1" xfId="0" applyFont="1" applyFill="1" applyBorder="1"/>
    <xf numFmtId="0" fontId="12" fillId="7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4" fillId="0" borderId="0" xfId="0" applyFont="1" applyBorder="1"/>
    <xf numFmtId="0" fontId="2" fillId="6" borderId="1" xfId="0" quotePrefix="1" applyFont="1" applyFill="1" applyBorder="1"/>
    <xf numFmtId="0" fontId="2" fillId="2" borderId="1" xfId="0" quotePrefix="1" applyFont="1" applyFill="1" applyBorder="1"/>
    <xf numFmtId="0" fontId="2" fillId="0" borderId="1" xfId="0" applyFont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66" fontId="0" fillId="0" borderId="1" xfId="0" applyNumberFormat="1" applyBorder="1"/>
    <xf numFmtId="166" fontId="16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66" fontId="16" fillId="9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Fill="1" applyBorder="1"/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19" fillId="0" borderId="3" xfId="0" applyFont="1" applyBorder="1"/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/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0" borderId="0" xfId="0" applyFont="1"/>
    <xf numFmtId="0" fontId="19" fillId="0" borderId="0" xfId="0" applyFont="1" applyFill="1" applyBorder="1" applyAlignment="1">
      <alignment horizontal="center" vertical="center"/>
    </xf>
    <xf numFmtId="0" fontId="15" fillId="0" borderId="0" xfId="0" applyFont="1"/>
    <xf numFmtId="0" fontId="9" fillId="0" borderId="1" xfId="0" applyFont="1" applyFill="1" applyBorder="1"/>
    <xf numFmtId="0" fontId="15" fillId="0" borderId="1" xfId="0" applyFont="1" applyFill="1" applyBorder="1"/>
    <xf numFmtId="0" fontId="15" fillId="0" borderId="0" xfId="0" applyFont="1" applyFill="1"/>
    <xf numFmtId="0" fontId="9" fillId="0" borderId="0" xfId="0" applyFont="1" applyFill="1"/>
    <xf numFmtId="0" fontId="17" fillId="0" borderId="3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F419CDC-41D9-4521-B2E5-02FF9CF29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5A53-45EB-445A-9EF7-BA2B7EE7534A}">
  <dimension ref="A1:U68"/>
  <sheetViews>
    <sheetView showGridLines="0" tabSelected="1" topLeftCell="A59" zoomScale="60" workbookViewId="0">
      <selection activeCell="P35" sqref="P35"/>
    </sheetView>
  </sheetViews>
  <sheetFormatPr defaultRowHeight="14.5" x14ac:dyDescent="0.35"/>
  <cols>
    <col min="1" max="1" width="20.1796875" bestFit="1" customWidth="1"/>
    <col min="2" max="2" width="16.1796875" bestFit="1" customWidth="1"/>
    <col min="3" max="3" width="13.90625" customWidth="1"/>
    <col min="4" max="4" width="16.81640625" bestFit="1" customWidth="1"/>
    <col min="5" max="5" width="13.08984375" bestFit="1" customWidth="1"/>
    <col min="6" max="6" width="13.90625" bestFit="1" customWidth="1"/>
    <col min="7" max="7" width="11.81640625" bestFit="1" customWidth="1"/>
    <col min="8" max="8" width="12.08984375" bestFit="1" customWidth="1"/>
    <col min="9" max="9" width="10.7265625" customWidth="1"/>
    <col min="10" max="10" width="12" bestFit="1" customWidth="1"/>
    <col min="11" max="14" width="11.81640625" bestFit="1" customWidth="1"/>
    <col min="15" max="15" width="12.08984375" customWidth="1"/>
    <col min="16" max="16" width="11.6328125" customWidth="1"/>
    <col min="17" max="17" width="12" customWidth="1"/>
    <col min="18" max="18" width="12.6328125" customWidth="1"/>
    <col min="19" max="19" width="11.54296875" customWidth="1"/>
    <col min="20" max="20" width="12.08984375" customWidth="1"/>
    <col min="21" max="21" width="12.6328125" customWidth="1"/>
    <col min="22" max="22" width="12" customWidth="1"/>
    <col min="23" max="23" width="17.26953125" bestFit="1" customWidth="1"/>
    <col min="24" max="24" width="17.54296875" bestFit="1" customWidth="1"/>
    <col min="25" max="25" width="18.81640625" bestFit="1" customWidth="1"/>
    <col min="26" max="26" width="19.08984375" bestFit="1" customWidth="1"/>
    <col min="27" max="27" width="22.08984375" bestFit="1" customWidth="1"/>
    <col min="28" max="28" width="22.36328125" bestFit="1" customWidth="1"/>
  </cols>
  <sheetData>
    <row r="1" spans="1:8" ht="18.5" x14ac:dyDescent="0.45">
      <c r="A1" s="26" t="s">
        <v>0</v>
      </c>
      <c r="B1" s="26" t="s">
        <v>28</v>
      </c>
      <c r="C1" s="26" t="s">
        <v>16</v>
      </c>
      <c r="D1" s="26" t="s">
        <v>17</v>
      </c>
      <c r="E1" s="26" t="s">
        <v>16</v>
      </c>
      <c r="F1" s="26" t="s">
        <v>29</v>
      </c>
      <c r="G1" s="26" t="s">
        <v>27</v>
      </c>
      <c r="H1" s="26" t="s">
        <v>39</v>
      </c>
    </row>
    <row r="2" spans="1:8" ht="15.5" x14ac:dyDescent="0.35">
      <c r="A2" s="3" t="s">
        <v>1</v>
      </c>
      <c r="B2" s="4">
        <v>34.596986301369846</v>
      </c>
      <c r="C2" s="2" t="str">
        <f>IF(B2&gt;=$A$23,$C$23,$C$22)</f>
        <v>B</v>
      </c>
      <c r="D2" s="2">
        <v>1.89</v>
      </c>
      <c r="E2" s="2" t="str">
        <f>IF(D2&gt;=$D$24,$F$24,IF(D2&gt;=$D$23,$F$23,$F$22))</f>
        <v>Low</v>
      </c>
      <c r="F2" s="2" t="str">
        <f>CONCATENATE(C2,E2)</f>
        <v>BLow</v>
      </c>
      <c r="G2" s="2">
        <v>424.92424242424244</v>
      </c>
      <c r="H2" s="2">
        <f>G2^2</f>
        <v>180560.61179981637</v>
      </c>
    </row>
    <row r="3" spans="1:8" ht="15.5" x14ac:dyDescent="0.35">
      <c r="A3" s="3" t="s">
        <v>2</v>
      </c>
      <c r="B3" s="4">
        <v>28.611671232876709</v>
      </c>
      <c r="C3" s="2" t="str">
        <f t="shared" ref="C3:C16" si="0">IF(B3&gt;=$A$23,$C$23,$C$22)</f>
        <v>A</v>
      </c>
      <c r="D3" s="2">
        <v>12.08</v>
      </c>
      <c r="E3" s="2" t="str">
        <f t="shared" ref="E3:E16" si="1">IF(D3&gt;=$D$24,$F$24,IF(D3&gt;=$D$23,$F$23,$F$22))</f>
        <v>Moderate</v>
      </c>
      <c r="F3" s="2" t="str">
        <f t="shared" ref="F3:F16" si="2">CONCATENATE(C3,E3)</f>
        <v>AModerate</v>
      </c>
      <c r="G3" s="2">
        <v>87.559414990859239</v>
      </c>
      <c r="H3" s="2">
        <f t="shared" ref="H3:H16" si="3">G3^2</f>
        <v>7666.6511535415057</v>
      </c>
    </row>
    <row r="4" spans="1:8" ht="15.5" x14ac:dyDescent="0.35">
      <c r="A4" s="3" t="s">
        <v>3</v>
      </c>
      <c r="B4" s="4">
        <v>31.171561643835599</v>
      </c>
      <c r="C4" s="2" t="str">
        <f t="shared" si="0"/>
        <v>A</v>
      </c>
      <c r="D4" s="2">
        <v>23.93</v>
      </c>
      <c r="E4" s="2" t="str">
        <f t="shared" si="1"/>
        <v>High</v>
      </c>
      <c r="F4" s="2" t="str">
        <f t="shared" si="2"/>
        <v>AHigh</v>
      </c>
      <c r="G4" s="2">
        <v>95.036630036630044</v>
      </c>
      <c r="H4" s="2">
        <f t="shared" si="3"/>
        <v>9031.9610487192913</v>
      </c>
    </row>
    <row r="5" spans="1:8" ht="15.5" x14ac:dyDescent="0.35">
      <c r="A5" s="3" t="s">
        <v>4</v>
      </c>
      <c r="B5" s="4">
        <v>33.14838356164384</v>
      </c>
      <c r="C5" s="2" t="str">
        <f t="shared" si="0"/>
        <v>B</v>
      </c>
      <c r="D5" s="2">
        <v>10.48</v>
      </c>
      <c r="E5" s="2" t="str">
        <f t="shared" si="1"/>
        <v>Moderate</v>
      </c>
      <c r="F5" s="2" t="str">
        <f t="shared" si="2"/>
        <v>BModerate</v>
      </c>
      <c r="G5" s="2">
        <v>213.67155963302753</v>
      </c>
      <c r="H5" s="2">
        <f t="shared" si="3"/>
        <v>45655.53539601044</v>
      </c>
    </row>
    <row r="6" spans="1:8" ht="15.5" x14ac:dyDescent="0.35">
      <c r="A6" s="3" t="s">
        <v>5</v>
      </c>
      <c r="B6" s="4">
        <v>33.051506849315061</v>
      </c>
      <c r="C6" s="2" t="str">
        <f t="shared" si="0"/>
        <v>B</v>
      </c>
      <c r="D6" s="2">
        <v>7.05</v>
      </c>
      <c r="E6" s="2" t="str">
        <f t="shared" si="1"/>
        <v>Low</v>
      </c>
      <c r="F6" s="2" t="str">
        <f t="shared" si="2"/>
        <v>BLow</v>
      </c>
      <c r="G6" s="2">
        <v>181.15285451197053</v>
      </c>
      <c r="H6" s="2">
        <f t="shared" si="3"/>
        <v>32816.356697835159</v>
      </c>
    </row>
    <row r="7" spans="1:8" ht="15.5" x14ac:dyDescent="0.35">
      <c r="A7" s="3" t="s">
        <v>6</v>
      </c>
      <c r="B7" s="4">
        <v>29.250684931506836</v>
      </c>
      <c r="C7" s="2" t="str">
        <f t="shared" si="0"/>
        <v>A</v>
      </c>
      <c r="D7" s="2">
        <v>15.31</v>
      </c>
      <c r="E7" s="2" t="str">
        <f t="shared" si="1"/>
        <v>High</v>
      </c>
      <c r="F7" s="2" t="str">
        <f t="shared" si="2"/>
        <v>AHigh</v>
      </c>
      <c r="G7" s="2">
        <v>140.51224489795919</v>
      </c>
      <c r="H7" s="2">
        <f t="shared" si="3"/>
        <v>19743.690966264057</v>
      </c>
    </row>
    <row r="8" spans="1:8" ht="15.5" x14ac:dyDescent="0.35">
      <c r="A8" s="3" t="s">
        <v>7</v>
      </c>
      <c r="B8" s="4">
        <v>31.421589041095885</v>
      </c>
      <c r="C8" s="2" t="str">
        <f t="shared" si="0"/>
        <v>A</v>
      </c>
      <c r="D8" s="2">
        <v>11.44</v>
      </c>
      <c r="E8" s="2" t="str">
        <f t="shared" si="1"/>
        <v>Moderate</v>
      </c>
      <c r="F8" s="2" t="str">
        <f t="shared" si="2"/>
        <v>AModerate</v>
      </c>
      <c r="G8" s="2">
        <v>88.125461254612546</v>
      </c>
      <c r="H8" s="2">
        <f t="shared" si="3"/>
        <v>7766.0969213382168</v>
      </c>
    </row>
    <row r="9" spans="1:8" ht="15.5" x14ac:dyDescent="0.35">
      <c r="A9" s="3" t="s">
        <v>8</v>
      </c>
      <c r="B9" s="4">
        <v>32.793863013698669</v>
      </c>
      <c r="C9" s="2" t="str">
        <f t="shared" si="0"/>
        <v>B</v>
      </c>
      <c r="D9" s="2">
        <v>2.42</v>
      </c>
      <c r="E9" s="2" t="str">
        <f t="shared" si="1"/>
        <v>Low</v>
      </c>
      <c r="F9" s="2" t="str">
        <f t="shared" si="2"/>
        <v>BLow</v>
      </c>
      <c r="G9" s="2">
        <v>114.2920517560074</v>
      </c>
      <c r="H9" s="2">
        <f t="shared" si="3"/>
        <v>13062.673094597872</v>
      </c>
    </row>
    <row r="10" spans="1:8" ht="15.5" x14ac:dyDescent="0.35">
      <c r="A10" s="3" t="s">
        <v>9</v>
      </c>
      <c r="B10" s="4">
        <v>32.782575342465769</v>
      </c>
      <c r="C10" s="2" t="str">
        <f t="shared" si="0"/>
        <v>B</v>
      </c>
      <c r="D10" s="2">
        <v>11.76</v>
      </c>
      <c r="E10" s="2" t="str">
        <f t="shared" si="1"/>
        <v>Moderate</v>
      </c>
      <c r="F10" s="2" t="str">
        <f t="shared" si="2"/>
        <v>BModerate</v>
      </c>
      <c r="G10" s="2">
        <v>147.43107221006565</v>
      </c>
      <c r="H10" s="2">
        <f t="shared" si="3"/>
        <v>21735.921053009592</v>
      </c>
    </row>
    <row r="11" spans="1:8" ht="15.5" x14ac:dyDescent="0.35">
      <c r="A11" s="3" t="s">
        <v>10</v>
      </c>
      <c r="B11" s="4">
        <v>32.280712328767159</v>
      </c>
      <c r="C11" s="2" t="str">
        <f t="shared" si="0"/>
        <v>B</v>
      </c>
      <c r="D11" s="2">
        <v>24.49</v>
      </c>
      <c r="E11" s="2" t="str">
        <f t="shared" si="1"/>
        <v>High</v>
      </c>
      <c r="F11" s="2" t="str">
        <f t="shared" si="2"/>
        <v>BHigh</v>
      </c>
      <c r="G11" s="2">
        <v>131.21335807050093</v>
      </c>
      <c r="H11" s="2">
        <f t="shared" si="3"/>
        <v>17216.945336137491</v>
      </c>
    </row>
    <row r="12" spans="1:8" ht="15.5" x14ac:dyDescent="0.35">
      <c r="A12" s="3" t="s">
        <v>11</v>
      </c>
      <c r="B12" s="4">
        <v>33.309780821917819</v>
      </c>
      <c r="C12" s="2" t="str">
        <f t="shared" si="0"/>
        <v>B</v>
      </c>
      <c r="D12" s="2">
        <v>4.6900000000000004</v>
      </c>
      <c r="E12" s="2" t="str">
        <f t="shared" si="1"/>
        <v>Low</v>
      </c>
      <c r="F12" s="2" t="str">
        <f t="shared" si="2"/>
        <v>BLow</v>
      </c>
      <c r="G12" s="2">
        <v>184.51301115241637</v>
      </c>
      <c r="H12" s="2">
        <f t="shared" si="3"/>
        <v>34045.051284531728</v>
      </c>
    </row>
    <row r="13" spans="1:8" ht="15.5" x14ac:dyDescent="0.35">
      <c r="A13" s="3" t="s">
        <v>12</v>
      </c>
      <c r="B13" s="4">
        <v>30.693013698630129</v>
      </c>
      <c r="C13" s="2" t="str">
        <f t="shared" si="0"/>
        <v>A</v>
      </c>
      <c r="D13" s="2">
        <v>4.0199999999999996</v>
      </c>
      <c r="E13" s="2" t="str">
        <f t="shared" si="1"/>
        <v>Low</v>
      </c>
      <c r="F13" s="2" t="str">
        <f t="shared" si="2"/>
        <v>ALow</v>
      </c>
      <c r="G13" s="2">
        <v>104.86778398510242</v>
      </c>
      <c r="H13" s="2">
        <f t="shared" si="3"/>
        <v>10997.252117946104</v>
      </c>
    </row>
    <row r="14" spans="1:8" ht="15.5" x14ac:dyDescent="0.35">
      <c r="A14" s="3" t="s">
        <v>13</v>
      </c>
      <c r="B14" s="4">
        <v>33.380136986301352</v>
      </c>
      <c r="C14" s="2" t="str">
        <f t="shared" si="0"/>
        <v>B</v>
      </c>
      <c r="D14" s="2">
        <v>9.89</v>
      </c>
      <c r="E14" s="2" t="str">
        <f t="shared" si="1"/>
        <v>Low</v>
      </c>
      <c r="F14" s="2" t="str">
        <f t="shared" si="2"/>
        <v>BLow</v>
      </c>
      <c r="G14" s="2">
        <v>193.7188679245283</v>
      </c>
      <c r="H14" s="2">
        <f t="shared" si="3"/>
        <v>37526.999789960835</v>
      </c>
    </row>
    <row r="15" spans="1:8" ht="15.5" x14ac:dyDescent="0.35">
      <c r="A15" s="3" t="s">
        <v>14</v>
      </c>
      <c r="B15" s="4">
        <v>28.798438356164393</v>
      </c>
      <c r="C15" s="2" t="str">
        <f t="shared" si="0"/>
        <v>A</v>
      </c>
      <c r="D15" s="2">
        <v>10.46</v>
      </c>
      <c r="E15" s="2" t="str">
        <f t="shared" si="1"/>
        <v>Moderate</v>
      </c>
      <c r="F15" s="2" t="str">
        <f t="shared" si="2"/>
        <v>AModerate</v>
      </c>
      <c r="G15" s="2">
        <v>71.568138195777351</v>
      </c>
      <c r="H15" s="2">
        <f t="shared" si="3"/>
        <v>5121.998404809885</v>
      </c>
    </row>
    <row r="16" spans="1:8" ht="15.5" x14ac:dyDescent="0.35">
      <c r="A16" s="3" t="s">
        <v>15</v>
      </c>
      <c r="B16" s="4">
        <v>30.396712328767141</v>
      </c>
      <c r="C16" s="2" t="str">
        <f t="shared" si="0"/>
        <v>A</v>
      </c>
      <c r="D16" s="2">
        <v>9.51</v>
      </c>
      <c r="E16" s="2" t="str">
        <f t="shared" si="1"/>
        <v>Low</v>
      </c>
      <c r="F16" s="2" t="str">
        <f t="shared" si="2"/>
        <v>ALow</v>
      </c>
      <c r="G16" s="2">
        <v>104.81188118811882</v>
      </c>
      <c r="H16" s="2">
        <f t="shared" si="3"/>
        <v>10985.530438192336</v>
      </c>
    </row>
    <row r="18" spans="1:15" x14ac:dyDescent="0.35">
      <c r="B18" s="24">
        <f>MAX(B2:B16)</f>
        <v>34.596986301369846</v>
      </c>
      <c r="C18" s="7"/>
      <c r="D18" s="25">
        <f>MAX(D2:D16)</f>
        <v>24.49</v>
      </c>
    </row>
    <row r="19" spans="1:15" x14ac:dyDescent="0.35">
      <c r="B19" s="24">
        <f>MIN(B2:B16)</f>
        <v>28.611671232876709</v>
      </c>
      <c r="C19" s="7"/>
      <c r="D19" s="25">
        <f>MIN(D2:D16)</f>
        <v>1.89</v>
      </c>
    </row>
    <row r="21" spans="1:15" x14ac:dyDescent="0.35">
      <c r="B21" s="35" t="s">
        <v>62</v>
      </c>
      <c r="C21" s="35"/>
      <c r="E21" s="35" t="s">
        <v>63</v>
      </c>
      <c r="F21" s="35"/>
    </row>
    <row r="22" spans="1:15" x14ac:dyDescent="0.35">
      <c r="A22">
        <v>28</v>
      </c>
      <c r="B22" s="16" t="s">
        <v>26</v>
      </c>
      <c r="C22" s="33" t="s">
        <v>18</v>
      </c>
      <c r="D22" s="23">
        <v>1</v>
      </c>
      <c r="E22" s="17" t="s">
        <v>23</v>
      </c>
      <c r="F22" s="18" t="s">
        <v>59</v>
      </c>
    </row>
    <row r="23" spans="1:15" x14ac:dyDescent="0.35">
      <c r="A23">
        <v>32</v>
      </c>
      <c r="B23" s="8" t="s">
        <v>82</v>
      </c>
      <c r="C23" s="34" t="s">
        <v>19</v>
      </c>
      <c r="D23" s="23">
        <v>10</v>
      </c>
      <c r="E23" s="19" t="s">
        <v>24</v>
      </c>
      <c r="F23" s="20" t="s">
        <v>60</v>
      </c>
    </row>
    <row r="24" spans="1:15" x14ac:dyDescent="0.35">
      <c r="B24" s="7"/>
      <c r="C24" s="7"/>
      <c r="D24" s="23">
        <v>15</v>
      </c>
      <c r="E24" s="21" t="s">
        <v>25</v>
      </c>
      <c r="F24" s="22" t="s">
        <v>61</v>
      </c>
    </row>
    <row r="25" spans="1:15" x14ac:dyDescent="0.35">
      <c r="E25" s="1"/>
    </row>
    <row r="28" spans="1:15" ht="24" x14ac:dyDescent="0.5">
      <c r="B28" s="32"/>
      <c r="C28" s="48" t="s">
        <v>20</v>
      </c>
      <c r="D28" s="48" t="s">
        <v>21</v>
      </c>
      <c r="E28" s="48" t="s">
        <v>22</v>
      </c>
      <c r="F28" s="49" t="s">
        <v>73</v>
      </c>
      <c r="G28" s="49" t="s">
        <v>74</v>
      </c>
      <c r="K28" s="28" t="s">
        <v>20</v>
      </c>
      <c r="L28" s="29" t="s">
        <v>21</v>
      </c>
      <c r="M28" s="30" t="s">
        <v>22</v>
      </c>
      <c r="N28" s="27" t="s">
        <v>57</v>
      </c>
      <c r="O28" s="27" t="s">
        <v>64</v>
      </c>
    </row>
    <row r="29" spans="1:15" ht="21" x14ac:dyDescent="0.5">
      <c r="B29" s="65" t="s">
        <v>18</v>
      </c>
      <c r="C29" s="50">
        <v>104.86778398510242</v>
      </c>
      <c r="D29" s="50">
        <v>87.559414990859239</v>
      </c>
      <c r="E29" s="50">
        <v>95.036630036630044</v>
      </c>
      <c r="F29" s="51">
        <f>SUM(C29:E31)</f>
        <v>692.48155454905964</v>
      </c>
      <c r="G29" s="52">
        <f>COUNT(C29:E31)</f>
        <v>7</v>
      </c>
      <c r="J29" s="36" t="s">
        <v>18</v>
      </c>
      <c r="K29" s="42">
        <f>AVERAGE(C29:C31)</f>
        <v>104.83983258661061</v>
      </c>
      <c r="L29" s="42">
        <f t="shared" ref="L29:M29" si="4">AVERAGE(D29:D31)</f>
        <v>82.417671480416388</v>
      </c>
      <c r="M29" s="42">
        <f t="shared" si="4"/>
        <v>117.77443746729462</v>
      </c>
      <c r="N29" s="39">
        <f>SUM(K29:M29)</f>
        <v>305.03194153432162</v>
      </c>
      <c r="O29" s="41">
        <f>COUNT(K29:M29)</f>
        <v>3</v>
      </c>
    </row>
    <row r="30" spans="1:15" ht="21" x14ac:dyDescent="0.5">
      <c r="B30" s="66"/>
      <c r="C30" s="53">
        <v>104.81188118811882</v>
      </c>
      <c r="D30" s="53">
        <v>88.125461254612546</v>
      </c>
      <c r="E30" s="53">
        <v>140.51224489795919</v>
      </c>
      <c r="F30" s="54"/>
      <c r="G30" s="52"/>
      <c r="J30" s="37" t="s">
        <v>19</v>
      </c>
      <c r="K30" s="42">
        <f>AVERAGE(C32:C36)</f>
        <v>219.72020555383295</v>
      </c>
      <c r="L30" s="42">
        <f t="shared" ref="L30:M30" si="5">AVERAGE(D32:D36)</f>
        <v>180.55131592154657</v>
      </c>
      <c r="M30" s="42">
        <f t="shared" si="5"/>
        <v>131.21335807050093</v>
      </c>
      <c r="N30" s="39">
        <f>SUM(K30:M30)</f>
        <v>531.4848795458804</v>
      </c>
      <c r="O30" s="41">
        <f>COUNT(K30:M30)</f>
        <v>3</v>
      </c>
    </row>
    <row r="31" spans="1:15" ht="24" x14ac:dyDescent="0.65">
      <c r="B31" s="67"/>
      <c r="C31" s="55"/>
      <c r="D31" s="55">
        <v>71.568138195777351</v>
      </c>
      <c r="E31" s="55"/>
      <c r="F31" s="56"/>
      <c r="G31" s="52"/>
      <c r="J31" s="31" t="s">
        <v>58</v>
      </c>
      <c r="K31" s="39">
        <f>SUM(K29:K30)</f>
        <v>324.56003814044357</v>
      </c>
      <c r="L31" s="39">
        <f t="shared" ref="L31:M31" si="6">SUM(L29:L30)</f>
        <v>262.96898740196298</v>
      </c>
      <c r="M31" s="39">
        <f t="shared" si="6"/>
        <v>248.98779553779553</v>
      </c>
      <c r="N31" s="40"/>
    </row>
    <row r="32" spans="1:15" ht="21" customHeight="1" x14ac:dyDescent="0.65">
      <c r="B32" s="65" t="s">
        <v>19</v>
      </c>
      <c r="C32" s="50">
        <v>424.92424242424244</v>
      </c>
      <c r="D32" s="50">
        <v>213.67155963302753</v>
      </c>
      <c r="E32" s="50">
        <v>131.21335807050093</v>
      </c>
      <c r="F32" s="51">
        <f>SUM(C32:E36)</f>
        <v>1590.917017682759</v>
      </c>
      <c r="G32" s="52">
        <f>COUNT(C32:E36)</f>
        <v>8</v>
      </c>
      <c r="J32" s="31" t="s">
        <v>65</v>
      </c>
      <c r="K32" s="41">
        <f>COUNT(K29:K30)</f>
        <v>2</v>
      </c>
      <c r="L32" s="41">
        <f t="shared" ref="L32:M32" si="7">COUNT(L29:L30)</f>
        <v>2</v>
      </c>
      <c r="M32" s="41">
        <f t="shared" si="7"/>
        <v>2</v>
      </c>
    </row>
    <row r="33" spans="2:14" ht="21" x14ac:dyDescent="0.5">
      <c r="B33" s="66"/>
      <c r="C33" s="53">
        <v>181.15285451197053</v>
      </c>
      <c r="D33" s="53">
        <v>147.43107221006565</v>
      </c>
      <c r="E33" s="53"/>
      <c r="F33" s="54"/>
      <c r="G33" s="52"/>
    </row>
    <row r="34" spans="2:14" ht="21" x14ac:dyDescent="0.5">
      <c r="B34" s="66"/>
      <c r="C34" s="53">
        <v>114.2920517560074</v>
      </c>
      <c r="D34" s="53"/>
      <c r="E34" s="53"/>
      <c r="F34" s="54"/>
      <c r="G34" s="52"/>
    </row>
    <row r="35" spans="2:14" ht="21" x14ac:dyDescent="0.5">
      <c r="B35" s="66"/>
      <c r="C35" s="53">
        <v>184.51301115241637</v>
      </c>
      <c r="D35" s="53"/>
      <c r="E35" s="53"/>
      <c r="F35" s="54"/>
      <c r="G35" s="52"/>
    </row>
    <row r="36" spans="2:14" ht="21" x14ac:dyDescent="0.5">
      <c r="B36" s="67"/>
      <c r="C36" s="55">
        <v>193.7188679245283</v>
      </c>
      <c r="D36" s="55"/>
      <c r="E36" s="55"/>
      <c r="F36" s="56"/>
      <c r="G36" s="52"/>
    </row>
    <row r="37" spans="2:14" ht="24" x14ac:dyDescent="0.65">
      <c r="B37" s="48" t="s">
        <v>80</v>
      </c>
      <c r="C37" s="57">
        <f>SUM(C29:C36)</f>
        <v>1308.2806929423862</v>
      </c>
      <c r="D37" s="57">
        <f t="shared" ref="D37:E37" si="8">SUM(D29:D36)</f>
        <v>608.35564628434236</v>
      </c>
      <c r="E37" s="57">
        <f t="shared" si="8"/>
        <v>366.76223300509014</v>
      </c>
      <c r="F37" s="58"/>
      <c r="G37" s="58"/>
    </row>
    <row r="38" spans="2:14" ht="24" x14ac:dyDescent="0.65">
      <c r="B38" s="48" t="s">
        <v>81</v>
      </c>
      <c r="C38" s="57">
        <f>COUNT(C29:C36)</f>
        <v>7</v>
      </c>
      <c r="D38" s="57">
        <f t="shared" ref="D38:E38" si="9">COUNT(D29:D36)</f>
        <v>5</v>
      </c>
      <c r="E38" s="57">
        <f t="shared" si="9"/>
        <v>3</v>
      </c>
      <c r="F38" s="59"/>
      <c r="G38" s="58"/>
    </row>
    <row r="39" spans="2:14" x14ac:dyDescent="0.35">
      <c r="C39" s="60"/>
      <c r="D39" s="60"/>
      <c r="E39" s="60"/>
      <c r="F39" s="60"/>
      <c r="G39" s="60"/>
    </row>
    <row r="40" spans="2:14" x14ac:dyDescent="0.35">
      <c r="C40" s="60"/>
      <c r="D40" s="60"/>
      <c r="E40" s="60"/>
      <c r="F40" s="60"/>
      <c r="G40" s="60"/>
    </row>
    <row r="41" spans="2:14" x14ac:dyDescent="0.35">
      <c r="C41" s="60"/>
      <c r="D41" s="60"/>
      <c r="E41" s="60"/>
      <c r="F41" s="60"/>
      <c r="G41" s="60"/>
    </row>
    <row r="42" spans="2:14" x14ac:dyDescent="0.35">
      <c r="C42" s="61" t="s">
        <v>31</v>
      </c>
      <c r="D42" s="62">
        <v>15</v>
      </c>
      <c r="E42" s="63"/>
      <c r="F42" s="61" t="s">
        <v>33</v>
      </c>
      <c r="G42" s="61">
        <f>$D$43-$G$44</f>
        <v>106339.33952469024</v>
      </c>
      <c r="J42" s="9" t="s">
        <v>31</v>
      </c>
      <c r="K42" s="2">
        <f>COUNT(K29:M30)</f>
        <v>6</v>
      </c>
      <c r="M42" s="11" t="s">
        <v>33</v>
      </c>
      <c r="N42" s="11">
        <f>K43-N44</f>
        <v>13120.840943850504</v>
      </c>
    </row>
    <row r="43" spans="2:14" ht="17.5" x14ac:dyDescent="0.45">
      <c r="C43" s="61" t="s">
        <v>75</v>
      </c>
      <c r="D43" s="62">
        <f>SUMSQ(C29:E36)</f>
        <v>453933.27550271084</v>
      </c>
      <c r="E43" s="63"/>
      <c r="F43" s="64"/>
      <c r="G43" s="63"/>
      <c r="J43" s="9" t="s">
        <v>51</v>
      </c>
      <c r="K43" s="2">
        <f>SUMSQ(K29:M30)</f>
        <v>129747.57293553829</v>
      </c>
      <c r="M43" s="7"/>
    </row>
    <row r="44" spans="2:14" ht="16.5" x14ac:dyDescent="0.35">
      <c r="C44" s="61" t="s">
        <v>32</v>
      </c>
      <c r="D44" s="62">
        <f>SUM(C29:E36)</f>
        <v>2283.3985722318189</v>
      </c>
      <c r="E44" s="63"/>
      <c r="F44" s="61" t="s">
        <v>76</v>
      </c>
      <c r="G44" s="62">
        <f>D44^2/D42</f>
        <v>347593.9359780206</v>
      </c>
      <c r="J44" s="9" t="s">
        <v>32</v>
      </c>
      <c r="K44" s="38">
        <f>SUM(K29:M30)</f>
        <v>836.51682108020202</v>
      </c>
      <c r="M44" s="9" t="s">
        <v>54</v>
      </c>
      <c r="N44" s="2">
        <f>K44^2/K42</f>
        <v>116626.73199168779</v>
      </c>
    </row>
    <row r="45" spans="2:14" x14ac:dyDescent="0.35">
      <c r="C45" s="64"/>
      <c r="D45" s="63"/>
      <c r="E45" s="63"/>
      <c r="F45" s="64"/>
      <c r="G45" s="63"/>
      <c r="J45" s="7"/>
      <c r="M45" s="7"/>
    </row>
    <row r="46" spans="2:14" ht="17.5" x14ac:dyDescent="0.45">
      <c r="C46" s="61" t="s">
        <v>77</v>
      </c>
      <c r="D46" s="62">
        <f>(F29^2/G29)+(F32^2/G32)</f>
        <v>384881.50584274437</v>
      </c>
      <c r="E46" s="63"/>
      <c r="F46" s="61" t="s">
        <v>34</v>
      </c>
      <c r="G46" s="61">
        <f>D46-G44</f>
        <v>37287.569864723773</v>
      </c>
      <c r="J46" s="10" t="s">
        <v>52</v>
      </c>
      <c r="K46" s="2">
        <f>SUMSQ(N29:N30)/O29</f>
        <v>125173.55418069893</v>
      </c>
      <c r="M46" s="11" t="s">
        <v>34</v>
      </c>
      <c r="N46" s="12">
        <f>K46-N44</f>
        <v>8546.8221890111454</v>
      </c>
    </row>
    <row r="47" spans="2:14" ht="17.5" x14ac:dyDescent="0.45">
      <c r="C47" s="61" t="s">
        <v>78</v>
      </c>
      <c r="D47" s="62">
        <f>(C37^2/C38)+(D37^2/D38)+(E37^2/E38)</f>
        <v>363371.55006795033</v>
      </c>
      <c r="E47" s="63"/>
      <c r="F47" s="61" t="s">
        <v>36</v>
      </c>
      <c r="G47" s="61">
        <f>D47-G44</f>
        <v>15777.614089929732</v>
      </c>
      <c r="J47" s="10" t="s">
        <v>53</v>
      </c>
      <c r="K47" s="2">
        <f>SUMSQ(K31:M31)/K32</f>
        <v>118243.41450985552</v>
      </c>
      <c r="M47" s="11" t="s">
        <v>36</v>
      </c>
      <c r="N47" s="12">
        <f>K47-N44</f>
        <v>1616.6825181677268</v>
      </c>
    </row>
    <row r="48" spans="2:14" x14ac:dyDescent="0.35">
      <c r="C48" s="64"/>
      <c r="D48" s="63"/>
      <c r="E48" s="63"/>
      <c r="F48" s="64"/>
      <c r="G48" s="63"/>
      <c r="J48" s="7"/>
      <c r="M48" s="7"/>
    </row>
    <row r="49" spans="3:21" x14ac:dyDescent="0.35">
      <c r="C49" s="61" t="s">
        <v>35</v>
      </c>
      <c r="D49" s="62">
        <v>3</v>
      </c>
      <c r="E49" s="63"/>
      <c r="F49" s="64"/>
      <c r="G49" s="63"/>
      <c r="J49" s="44"/>
      <c r="K49" s="43"/>
      <c r="M49" s="7"/>
    </row>
    <row r="50" spans="3:21" x14ac:dyDescent="0.35">
      <c r="C50" s="61" t="s">
        <v>30</v>
      </c>
      <c r="D50" s="62">
        <v>2</v>
      </c>
      <c r="E50" s="63"/>
      <c r="F50" s="64"/>
      <c r="G50" s="63"/>
      <c r="J50" s="47" t="s">
        <v>67</v>
      </c>
      <c r="K50" s="46">
        <f>O29</f>
        <v>3</v>
      </c>
      <c r="M50" s="7"/>
    </row>
    <row r="51" spans="3:21" x14ac:dyDescent="0.35">
      <c r="C51" s="61" t="s">
        <v>49</v>
      </c>
      <c r="D51" s="62">
        <f>D50*D49</f>
        <v>6</v>
      </c>
      <c r="E51" s="63"/>
      <c r="F51" s="64"/>
      <c r="G51" s="63"/>
      <c r="J51" s="47" t="s">
        <v>68</v>
      </c>
      <c r="K51" s="46">
        <f>K32</f>
        <v>2</v>
      </c>
      <c r="M51" s="7"/>
    </row>
    <row r="52" spans="3:21" ht="17.5" x14ac:dyDescent="0.45">
      <c r="C52" s="61" t="s">
        <v>79</v>
      </c>
      <c r="D52" s="62">
        <f>SUMSQ(SUM(C29:C31),SUM(D29:D31),SUM(E29:E31),SUM(C32:C36),SUM(D32:D36),SUM(E32:E36))</f>
        <v>1515119.1618960006</v>
      </c>
      <c r="E52" s="63"/>
      <c r="F52" s="61" t="s">
        <v>37</v>
      </c>
      <c r="G52" s="61">
        <f>((D52/D51)-D46-D47+G44)</f>
        <v>-148139.25961667398</v>
      </c>
      <c r="J52" s="44"/>
      <c r="K52" s="43"/>
      <c r="M52" s="11" t="s">
        <v>66</v>
      </c>
      <c r="N52" s="11">
        <f>N42-N46-N47</f>
        <v>2957.3362366716319</v>
      </c>
    </row>
    <row r="53" spans="3:21" x14ac:dyDescent="0.35">
      <c r="C53" s="63"/>
      <c r="D53" s="63"/>
      <c r="E53" s="63"/>
      <c r="F53" s="64"/>
      <c r="G53" s="63"/>
      <c r="M53" s="7"/>
    </row>
    <row r="54" spans="3:21" x14ac:dyDescent="0.35">
      <c r="C54" s="63"/>
      <c r="D54" s="63"/>
      <c r="E54" s="63"/>
      <c r="F54" s="61" t="s">
        <v>38</v>
      </c>
      <c r="G54" s="61">
        <f>G42-G46-G47-G52</f>
        <v>201413.41518671071</v>
      </c>
      <c r="M54" s="44"/>
      <c r="N54" s="44"/>
    </row>
    <row r="58" spans="3:21" ht="29" x14ac:dyDescent="0.35">
      <c r="J58" s="13" t="s">
        <v>40</v>
      </c>
      <c r="K58" s="13" t="s">
        <v>41</v>
      </c>
      <c r="L58" s="14" t="s">
        <v>42</v>
      </c>
      <c r="M58" s="14" t="s">
        <v>43</v>
      </c>
      <c r="N58" s="14" t="s">
        <v>44</v>
      </c>
    </row>
    <row r="59" spans="3:21" x14ac:dyDescent="0.35">
      <c r="J59" s="6" t="s">
        <v>45</v>
      </c>
      <c r="K59" s="5">
        <f>$N$46</f>
        <v>8546.8221890111454</v>
      </c>
      <c r="L59" s="45">
        <f>K51-1</f>
        <v>1</v>
      </c>
      <c r="M59" s="5">
        <f>K59/L59</f>
        <v>8546.8221890111454</v>
      </c>
      <c r="N59" s="5">
        <f>M59/$M$61</f>
        <v>5.780081468605859</v>
      </c>
    </row>
    <row r="60" spans="3:21" x14ac:dyDescent="0.35">
      <c r="J60" s="6" t="s">
        <v>46</v>
      </c>
      <c r="K60" s="5">
        <f>$N$47</f>
        <v>1616.6825181677268</v>
      </c>
      <c r="L60" s="45">
        <f>K50-1</f>
        <v>2</v>
      </c>
      <c r="M60" s="5">
        <f>K60/L60</f>
        <v>808.34125908386341</v>
      </c>
      <c r="N60" s="5">
        <f>M60/$M$61</f>
        <v>0.5466684843341455</v>
      </c>
    </row>
    <row r="61" spans="3:21" x14ac:dyDescent="0.35">
      <c r="J61" s="6" t="s">
        <v>47</v>
      </c>
      <c r="K61" s="5">
        <f>$N$52</f>
        <v>2957.3362366716319</v>
      </c>
      <c r="L61" s="5">
        <f>L59*L60</f>
        <v>2</v>
      </c>
      <c r="M61" s="5">
        <f>K61/L61</f>
        <v>1478.668118335816</v>
      </c>
      <c r="N61" s="5"/>
    </row>
    <row r="62" spans="3:21" x14ac:dyDescent="0.35">
      <c r="J62" s="6" t="s">
        <v>48</v>
      </c>
      <c r="K62" s="5">
        <f>SUM(K59:K61)</f>
        <v>13120.840943850504</v>
      </c>
      <c r="L62" s="45">
        <f>SUM(L59:L61)</f>
        <v>5</v>
      </c>
      <c r="M62" s="5"/>
      <c r="N62" s="5"/>
    </row>
    <row r="64" spans="3:21" ht="43.5" x14ac:dyDescent="0.35">
      <c r="J64" s="13" t="s">
        <v>56</v>
      </c>
      <c r="K64" s="13" t="s">
        <v>50</v>
      </c>
      <c r="L64" s="13" t="s">
        <v>70</v>
      </c>
      <c r="M64" s="13" t="s">
        <v>50</v>
      </c>
      <c r="N64" s="13" t="s">
        <v>71</v>
      </c>
      <c r="O64" s="13" t="s">
        <v>50</v>
      </c>
      <c r="P64" s="13" t="s">
        <v>69</v>
      </c>
      <c r="Q64" s="13" t="s">
        <v>50</v>
      </c>
      <c r="R64" s="13" t="s">
        <v>55</v>
      </c>
      <c r="S64" s="13" t="s">
        <v>50</v>
      </c>
      <c r="T64" s="13" t="s">
        <v>72</v>
      </c>
      <c r="U64" s="13" t="s">
        <v>50</v>
      </c>
    </row>
    <row r="65" spans="10:21" x14ac:dyDescent="0.35">
      <c r="J65" s="15">
        <v>2.57</v>
      </c>
      <c r="K65" s="15" t="str">
        <f>IF($N59&gt;J65,"REJECT","ACCEPT")</f>
        <v>REJECT</v>
      </c>
      <c r="L65" s="15">
        <v>3.55</v>
      </c>
      <c r="M65" s="15" t="str">
        <f>IF($N59&gt;L65,"REJECT","ACCEPT")</f>
        <v>REJECT</v>
      </c>
      <c r="N65" s="15">
        <v>5.21</v>
      </c>
      <c r="O65" s="15" t="str">
        <f>IF($N59&gt;N65,"REJECT","ACCEPT")</f>
        <v>REJECT</v>
      </c>
      <c r="P65" s="6">
        <v>8.5299999999999994</v>
      </c>
      <c r="Q65" s="6" t="str">
        <f>IF($N59&gt;P65,"REJECT","ACCEPT")</f>
        <v>ACCEPT</v>
      </c>
      <c r="R65" s="6">
        <v>18.510000000000002</v>
      </c>
      <c r="S65" s="6" t="str">
        <f>IF($N59&gt;R65,"REJECT","ACCEPT")</f>
        <v>ACCEPT</v>
      </c>
      <c r="T65" s="6">
        <v>38.5</v>
      </c>
      <c r="U65" s="6" t="str">
        <f>IF($N59&gt;T65,"REJECT","ACCEPT")</f>
        <v>ACCEPT</v>
      </c>
    </row>
    <row r="66" spans="10:21" x14ac:dyDescent="0.35">
      <c r="J66" s="6">
        <v>3</v>
      </c>
      <c r="K66" s="6" t="str">
        <f>IF($N60&gt;J66,"REJECT","ACCEPT")</f>
        <v>ACCEPT</v>
      </c>
      <c r="L66" s="6">
        <v>4</v>
      </c>
      <c r="M66" s="6" t="str">
        <f>IF($N60&gt;L66,"REJECT","ACCEPT")</f>
        <v>ACCEPT</v>
      </c>
      <c r="N66" s="6">
        <v>5.66</v>
      </c>
      <c r="O66" s="6" t="str">
        <f>IF($N60&gt;N66,"REJECT","ACCEPT")</f>
        <v>ACCEPT</v>
      </c>
      <c r="P66" s="6">
        <v>9</v>
      </c>
      <c r="Q66" s="6" t="str">
        <f>IF($N60&gt;P66,"REJECT","ACCEPT")</f>
        <v>ACCEPT</v>
      </c>
      <c r="R66" s="6">
        <v>19</v>
      </c>
      <c r="S66" s="6" t="str">
        <f>IF($N60&gt;R66,"REJECT","ACCEPT")</f>
        <v>ACCEPT</v>
      </c>
      <c r="T66" s="6">
        <v>39</v>
      </c>
      <c r="U66" s="6" t="str">
        <f>IF($N60&gt;T66,"REJECT","ACCEPT")</f>
        <v>ACCEPT</v>
      </c>
    </row>
    <row r="67" spans="10:21" x14ac:dyDescent="0.35"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0:21" x14ac:dyDescent="0.35"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</sheetData>
  <autoFilter ref="A1:F16" xr:uid="{8827E3E3-F963-4B23-9568-011EFE670256}"/>
  <mergeCells count="8">
    <mergeCell ref="B21:C21"/>
    <mergeCell ref="E21:F21"/>
    <mergeCell ref="B29:B31"/>
    <mergeCell ref="B32:B36"/>
    <mergeCell ref="G29:G31"/>
    <mergeCell ref="G32:G36"/>
    <mergeCell ref="F29:F31"/>
    <mergeCell ref="F32:F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Hrishita</dc:creator>
  <cp:lastModifiedBy>Hrishita</cp:lastModifiedBy>
  <dcterms:created xsi:type="dcterms:W3CDTF">2021-03-16T06:37:55Z</dcterms:created>
  <dcterms:modified xsi:type="dcterms:W3CDTF">2021-03-19T11:08:39Z</dcterms:modified>
</cp:coreProperties>
</file>